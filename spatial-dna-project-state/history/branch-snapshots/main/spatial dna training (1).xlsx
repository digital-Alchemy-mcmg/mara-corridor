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Opportunities" sheetId="1" r:id="rId5"/>
    <sheet state="visible" name="Sheet3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<sst xmlns="http://schemas.openxmlformats.org/spreadsheetml/2006/main" count="1654" uniqueCount="864">
  <si>
    <t>Cluster Category</t>
  </si>
  <si>
    <t>Job ID	Job Description</t>
  </si>
  <si>
    <t>Job Count</t>
  </si>
  <si>
    <t>Representative Postings</t>
  </si>
  <si>
    <t>Role in Spatial DNA Calibration</t>
  </si>
  <si>
    <t>Hospitality &amp; Multi-Unit Operations</t>
  </si>
  <si>
    <t>JOB-001	Multi-Site Practice Operations Manager — Confidential (Oakland County</t>
  </si>
  <si>
    <t>MI) | Compensation: $65</t>
  </si>
  <si>
    <t>000 - $75</t>
  </si>
  <si>
    <t>000 a year | Employment Type: Full-time | Benefits &amp; Features: 401(k)</t>
  </si>
  <si>
    <t>Health insurance</t>
  </si>
  <si>
    <t>Dental insurance</t>
  </si>
  <si>
    <t>Paid time off; Easily apply; 3 hires made in past 30 days</t>
  </si>
  <si>
    <t>JOB-002	Restaurant Assistant General Manager — Method Hospitality (Detroit</t>
  </si>
  <si>
    <t>MI 48226) | Compensation: $70</t>
  </si>
  <si>
    <t>000 a year | Employment Type: Full-time</t>
  </si>
  <si>
    <t>Monday to Friday (+7) | Benefits &amp; Features: 401(k)</t>
  </si>
  <si>
    <t>Method Hospitality (JOB-002), Main Event (JOB-037), Buddy's Pizza (JOB-059), Great Lakes Taco (JOB-042)</t>
  </si>
  <si>
    <t>Vision insurance</t>
  </si>
  <si>
    <t>Direct High-Gravity Bind: Tests Twin Peaks NSO, Bobcat Bonnie's P&amp;L, workforce training, and shift balancing.</t>
  </si>
  <si>
    <t>Life insurance</t>
  </si>
  <si>
    <t>Paid time off; Easily apply</t>
  </si>
  <si>
    <t>Operations Systems &amp; Onboarding</t>
  </si>
  <si>
    <t>JOB-003	Not listed in document</t>
  </si>
  <si>
    <t>Multi-Site Practice Ops (JOB-001), Snout Onboarding (JOB-004), UWM Project Engineer (JOB-109), Merlin Ops (JOB-119)</t>
  </si>
  <si>
    <t>JOB-004	Veterinary Onboarding Specialist — Snout</t>
  </si>
  <si>
    <t>Transferable Systems Bind: Tests operational workflow standardization, onboarding procedures, and technical operations.</t>
  </si>
  <si>
    <t>Inc (Troy</t>
  </si>
  <si>
    <t>MI 48083) | Compensation: $55</t>
  </si>
  <si>
    <t>000 - $60</t>
  </si>
  <si>
    <t>Branch &amp; Practice Management</t>
  </si>
  <si>
    <t>Monday to Friday | Benefits &amp; Features: Health insurance</t>
  </si>
  <si>
    <t>MSGCU Assistant Branch Manager (JOB-028), DeHaan Orthodontics (JOB-018), Southfield Dentistry (JOB-043)</t>
  </si>
  <si>
    <t>Compliance &amp; Resource Bind: Tests MLCC/audit readiness, regulatory control, and workforce retention.</t>
  </si>
  <si>
    <t>Paid parental leave</t>
  </si>
  <si>
    <t>Parental leave</t>
  </si>
  <si>
    <t>Sales, Commission &amp; Lending</t>
  </si>
  <si>
    <t>Paid time off; Easily apply; Often replies in 1 day</t>
  </si>
  <si>
    <t>Rapid Home Lending (JOB-024), Floor Tek (JOB-026), Power Home Remodeling (JOB-064)</t>
  </si>
  <si>
    <t>JOB-005	Not listed in document</t>
  </si>
  <si>
    <t>Negative Space / Suppression Test: Verifies that out-of-envelope commission sales correctly trigger NON_BIND rather than forced persona drift.</t>
  </si>
  <si>
    <t>JOB-006	Not listed in document</t>
  </si>
  <si>
    <t>Specialty &amp; Technical Support</t>
  </si>
  <si>
    <t>Estes Forwarding (JOB-040), Valicor QA (JOB-048), US Farathane (JOB-125)</t>
  </si>
  <si>
    <t>JOB-007	Not listed in document</t>
  </si>
  <si>
    <t>Edge Case Evaluation: Tests peripheral boundary filtering.</t>
  </si>
  <si>
    <t>JOB-008	General Manager — Fern Hill Golf Club (Clinton Township</t>
  </si>
  <si>
    <t>MI 48038) | Compensation: $50</t>
  </si>
  <si>
    <t>000 - $55</t>
  </si>
  <si>
    <t>Day shift (+5) | Benefits &amp; Features: Health insurance</t>
  </si>
  <si>
    <t>Dental insurance; Easily apply</t>
  </si>
  <si>
    <t>Total Jobs</t>
  </si>
  <si>
    <t>JOB-009	Aquatics Manager — Aqua Tots Swim School - Aqua Tots Novi</t>
  </si>
  <si>
    <t>LLC (Farmington Hills</t>
  </si>
  <si>
    <t>MI 48331) | Compensation: $50</t>
  </si>
  <si>
    <t>40 to 45 hours per week</t>
  </si>
  <si>
    <t>Day shift (+3) | Benefits &amp; Features: Easily apply; Often replies in 1 day</t>
  </si>
  <si>
    <t>JOB-010	Not listed in document</t>
  </si>
  <si>
    <t>JOB-011	Not listed in document</t>
  </si>
  <si>
    <t>JOB-012	Not listed in document</t>
  </si>
  <si>
    <t>JOB-013	Assistant General Manager — Taco Bell (New Baltimore</t>
  </si>
  <si>
    <t>MI 48047) | Compensation: $48</t>
  </si>
  <si>
    <t>Average Salary</t>
  </si>
  <si>
    <t>50 hours per week | Benefits &amp; Features: Health insurance</t>
  </si>
  <si>
    <t>Top Salary</t>
  </si>
  <si>
    <t>401(k) matching (6% Match)</t>
  </si>
  <si>
    <t>Tuition reimbursement</t>
  </si>
  <si>
    <t>Total Locations</t>
  </si>
  <si>
    <t>Gym membership</t>
  </si>
  <si>
    <t>JOB-014	Manager — Art &amp; Jake's Sports Bar &amp; Grill (Sterling Heights</t>
  </si>
  <si>
    <t>MI 48314) | Compensation: $60</t>
  </si>
  <si>
    <t>000 a year | Employment Type: Full-time | Benefits &amp; Features: Health insurance</t>
  </si>
  <si>
    <t>Food provided</t>
  </si>
  <si>
    <t>Employee discount</t>
  </si>
  <si>
    <t>JOB-015	Not listed in document</t>
  </si>
  <si>
    <t>JOB-016	Not listed in document</t>
  </si>
  <si>
    <t>JOB-017	Not listed in document</t>
  </si>
  <si>
    <t>JOB-018	Office Manager — DeHaan Orthodontics (Clarkston</t>
  </si>
  <si>
    <t>MI 48348) | Compensation: Not specified | Employment Type: Full-time</t>
  </si>
  <si>
    <t>35 to 40 hours per week | Benefits &amp; Features: 401(k)</t>
  </si>
  <si>
    <t>401(k) matching</t>
  </si>
  <si>
    <t>Paid time off</t>
  </si>
  <si>
    <t>Employee discount; Easily apply; 2 hires made in past 30 days; Top-rated employer</t>
  </si>
  <si>
    <t>JOB-019	Area General Manager — The Great Greek (Ann Arbor</t>
  </si>
  <si>
    <t>MI 48103) | Compensation: $55</t>
  </si>
  <si>
    <t>000 - $65</t>
  </si>
  <si>
    <t>000 a year | Employment Type: Full-time | Benefits &amp; Features: Easily apply; 2 hires made in past 30 days</t>
  </si>
  <si>
    <t>JOB-020	Not listed in document</t>
  </si>
  <si>
    <t>JOB-021	Assistant Manager - Restaurant — Mediterrano Restaurant (Ann Arbor</t>
  </si>
  <si>
    <t>MI 48104) | Compensation: $55</t>
  </si>
  <si>
    <t>000 - $70</t>
  </si>
  <si>
    <t>Day shift (+4) | Benefits &amp; Features: Health insurance</t>
  </si>
  <si>
    <t>Paid training</t>
  </si>
  <si>
    <t>Opportunities for advancement; Easily apply; Often replies in 1 day</t>
  </si>
  <si>
    <t>JOB-022	Not listed in document</t>
  </si>
  <si>
    <t>JOB-023	Banquet Manager — Royalty Manor Banquet Hall (Dearborn Heights</t>
  </si>
  <si>
    <t>MI 48127) | Compensation: From $20 an hour | Employment Type: Full-time (+2) | Benefits &amp; Features: Easily apply</t>
  </si>
  <si>
    <t>JOB-024	Mortgage Loan Officer Assistant — Rapid Home Lending (Troy</t>
  </si>
  <si>
    <t>MI 48084) | Compensation: $60</t>
  </si>
  <si>
    <t>000 - $130</t>
  </si>
  <si>
    <t>40 hours per week</t>
  </si>
  <si>
    <t>Monday to Friday | Benefits &amp; Features: 401(k)</t>
  </si>
  <si>
    <t>Referral program</t>
  </si>
  <si>
    <t>Professional development assistance</t>
  </si>
  <si>
    <t>Opportunities for advancement; Easily apply; 12 hires made in past 30 days</t>
  </si>
  <si>
    <t>JOB-025	Not listed in document</t>
  </si>
  <si>
    <t>JOB-026	Not listed in document</t>
  </si>
  <si>
    <t>JOB-027	FOH Restaurant Manager — True North Hospitality Group (Ann Arbor</t>
  </si>
  <si>
    <t>MI) | Compensation: $52</t>
  </si>
  <si>
    <t>000 - $58</t>
  </si>
  <si>
    <t>45 to 50 hours per week</t>
  </si>
  <si>
    <t>Monday to Friday (+5) | Benefits &amp; Features: 401(k)</t>
  </si>
  <si>
    <t>Paid time off; Easily apply; 5 hires made in past 30 days</t>
  </si>
  <si>
    <t>JOB-028	Assistant Branch Manager — MSGCU (Canton</t>
  </si>
  <si>
    <t>MI 48187) | Compensation: From $54</t>
  </si>
  <si>
    <t>627 a year | Employment Type: Not specified | Benefits &amp; Features: Health insurance</t>
  </si>
  <si>
    <t>Health savings account</t>
  </si>
  <si>
    <t>JOB-029	Not listed in document</t>
  </si>
  <si>
    <t>JOB-030	Not listed in document</t>
  </si>
  <si>
    <t>JOB-031	Client Care Specialist — Lendify Home Loans (Troy</t>
  </si>
  <si>
    <t>MI 48083) | Compensation: $50</t>
  </si>
  <si>
    <t>000 - $100</t>
  </si>
  <si>
    <t>Paid time off; Easily apply; Often responds in 1 day; 1 hire made in past 30 days; Top-rated employer</t>
  </si>
  <si>
    <t>JOB-032	Not listed in document</t>
  </si>
  <si>
    <t>JOB-033	Not listed in document</t>
  </si>
  <si>
    <t>JOB-034	Not listed in document</t>
  </si>
  <si>
    <t>JOB-035	General Manager — Stretch Zone (Sterling Heights</t>
  </si>
  <si>
    <t>MI 48311) | Compensation: From $22 an hour | Employment Type: Full-time | Benefits &amp; Features: Health insurance</t>
  </si>
  <si>
    <t>Paid time off; Easily apply; 4 hires made in past 30 days</t>
  </si>
  <si>
    <t>JOB-036	Assistant Branch Manager — University of Michigan Credit Union (Ann Arbor</t>
  </si>
  <si>
    <t>MI 48104) | Compensation: Not specified | Employment Type: Not specified | Benefits &amp; Features: Health insurance</t>
  </si>
  <si>
    <t>Pet insurance</t>
  </si>
  <si>
    <t>JOB-037	Restaurant Operations Manager — Main Event Entertainment (Taylor</t>
  </si>
  <si>
    <t>MI) | Compensation: $58</t>
  </si>
  <si>
    <t>629 - $68</t>
  </si>
  <si>
    <t>976 a year | Employment Type: Full-time</t>
  </si>
  <si>
    <t>Weekends as needed (+1) | Benefits &amp; Features: 401(k) matching</t>
  </si>
  <si>
    <t>Disability insurance</t>
  </si>
  <si>
    <t>Employee assistance program</t>
  </si>
  <si>
    <t>Food provided; Multiple openings</t>
  </si>
  <si>
    <t>JOB-038	Not listed in document</t>
  </si>
  <si>
    <t>JOB-039	Store Manager — RESSCO (Pinckney/Brighton</t>
  </si>
  <si>
    <t>MI 48116) | Compensation: Not specified | Employment Type: Full-time</t>
  </si>
  <si>
    <t>On call | Benefits &amp; Features: Easily apply; Often replies in 1 day</t>
  </si>
  <si>
    <t>JOB-040	Not listed in document</t>
  </si>
  <si>
    <t>JOB-041	Director of Sales &amp; Marketing: AL &amp; MC — Provision Living (South Lyon</t>
  </si>
  <si>
    <t>MI 48178) | Compensation: Not specified | Employment Type: Full-time</t>
  </si>
  <si>
    <t>Weekends as needed | Benefits &amp; Features: Easily apply; New listing</t>
  </si>
  <si>
    <t>JOB-042	Taco Bell General Manager — Great Lakes Taco (Royal Oak</t>
  </si>
  <si>
    <t>MI 48067) | Compensation: Up to $70</t>
  </si>
  <si>
    <t>Day shift (+1) | Benefits &amp; Features: 401(k)</t>
  </si>
  <si>
    <t>Paid time off; Easily apply; 7 hires made in past 30 days</t>
  </si>
  <si>
    <t>JOB-043	Dental Office Manager — Southfield Dentistry (Southfield</t>
  </si>
  <si>
    <t>MI 48076) | Compensation: $70</t>
  </si>
  <si>
    <t>000 - $80</t>
  </si>
  <si>
    <t>Paid holidays</t>
  </si>
  <si>
    <t>JOB-044	Not listed in document</t>
  </si>
  <si>
    <t>JOB-045	Restaurant Assistant General Manager — 9468 Ann Arbor Anna's House (Ann Arbor</t>
  </si>
  <si>
    <t>MI 48108) | Compensation: Not specified | Employment Type: Full-time</t>
  </si>
  <si>
    <t>Opportunities for advancement</t>
  </si>
  <si>
    <t>JOB-046	Not listed in document</t>
  </si>
  <si>
    <t>JOB-047	Not listed in document</t>
  </si>
  <si>
    <t>JOB-048	Not listed in document</t>
  </si>
  <si>
    <t>JOB-049	Banquet Manager — Method Hospitality (Detroit</t>
  </si>
  <si>
    <t>MI 48226) | Compensation: $60</t>
  </si>
  <si>
    <t>Weekends as needed (+2) | Benefits &amp; Features: 401(k)</t>
  </si>
  <si>
    <t>JOB-050	Not listed in document</t>
  </si>
  <si>
    <t>JOB-051	Account Executive — KOKI HOLDINGS AMERICA LTD./METABO HPT (Detroit</t>
  </si>
  <si>
    <t>MI) | Compensation: Not specified | Employment Type: Full-time</t>
  </si>
  <si>
    <t>JOB-052	Not listed in document</t>
  </si>
  <si>
    <t>JOB-053	Not listed in document</t>
  </si>
  <si>
    <t>JOB-054	Operations Manager - Ann Arbor — Molly Maid (Ann Arbor</t>
  </si>
  <si>
    <t>MI 48104) | Compensation: $50</t>
  </si>
  <si>
    <t>000 a year | Employment Type: Monday to Friday (+1) | Benefits &amp; Features: Health insurance</t>
  </si>
  <si>
    <t>JOB-055	Not listed in document</t>
  </si>
  <si>
    <t>JOB-056	Not listed in document</t>
  </si>
  <si>
    <t>JOB-057	Not listed in document</t>
  </si>
  <si>
    <t>JOB-058	Not listed in document</t>
  </si>
  <si>
    <t>JOB-059	Bench General Manager — Buddy's Pizza (Farmington Hills</t>
  </si>
  <si>
    <t>MI 48334) | Compensation: Not specified | Employment Type: 50 hours per week | Benefits &amp; Features: Health insurance</t>
  </si>
  <si>
    <t>JOB-060	Not listed in document</t>
  </si>
  <si>
    <t>JOB-061	Not listed in document</t>
  </si>
  <si>
    <t>JOB-062	Not listed in document</t>
  </si>
  <si>
    <t>JOB-063	Not listed in document</t>
  </si>
  <si>
    <t>JOB-064	Not listed in document</t>
  </si>
  <si>
    <t>JOB-065	Not listed in document</t>
  </si>
  <si>
    <t>JOB-066	Not listed in document</t>
  </si>
  <si>
    <t>JOB-067	Not listed in document</t>
  </si>
  <si>
    <t>JOB-068	Not listed in document</t>
  </si>
  <si>
    <t>Job ID</t>
  </si>
  <si>
    <t>JOB-069	Not listed in document</t>
  </si>
  <si>
    <t>JOB-070	Not listed in document</t>
  </si>
  <si>
    <t>JOB-071	Not listed in document</t>
  </si>
  <si>
    <t>JOB-072	Not listed in document</t>
  </si>
  <si>
    <t>JOB-073	Not listed in document</t>
  </si>
  <si>
    <t>JOB-074	Not listed in document</t>
  </si>
  <si>
    <t>JOB-075	Not listed in document</t>
  </si>
  <si>
    <t>JOB-076	Not listed in document</t>
  </si>
  <si>
    <t>JOB-077	Not listed in document</t>
  </si>
  <si>
    <t>Job Title</t>
  </si>
  <si>
    <t>JOB-078	Not listed in document</t>
  </si>
  <si>
    <t>JOB-079	Not listed in document</t>
  </si>
  <si>
    <t>JOB-080	Not listed in document</t>
  </si>
  <si>
    <t>JOB-081	Not listed in document</t>
  </si>
  <si>
    <t>JOB-082	Not listed in document</t>
  </si>
  <si>
    <t>JOB-083	Not listed in document</t>
  </si>
  <si>
    <t>JOB-084	Not listed in document</t>
  </si>
  <si>
    <t>Company</t>
  </si>
  <si>
    <t>Location</t>
  </si>
  <si>
    <t>JOB-085	Entry Level Sales Representative — Pure Energy Company (Clinton Township</t>
  </si>
  <si>
    <t>MI 48035) | Compensation: $80</t>
  </si>
  <si>
    <t>Min Salary</t>
  </si>
  <si>
    <t>JOB-086	Not listed in document</t>
  </si>
  <si>
    <t>JOB-087	Not listed in document</t>
  </si>
  <si>
    <t>JOB-088	Not listed in document</t>
  </si>
  <si>
    <t>Max Salary</t>
  </si>
  <si>
    <t>JOB-089	Assistant General Manager — Taco Bell (Westland</t>
  </si>
  <si>
    <t>Avg Salary</t>
  </si>
  <si>
    <t>MI 48185) | Compensation: $48</t>
  </si>
  <si>
    <t>Pay Type</t>
  </si>
  <si>
    <t>Employment Type</t>
  </si>
  <si>
    <t>Key Benefits</t>
  </si>
  <si>
    <t>Application Status</t>
  </si>
  <si>
    <t>Link</t>
  </si>
  <si>
    <t>Notes</t>
  </si>
  <si>
    <t>JOB-090	Not listed in document</t>
  </si>
  <si>
    <t>JOB-091	Not listed in document</t>
  </si>
  <si>
    <t>JOB-001</t>
  </si>
  <si>
    <t>JOB-092	Not listed in document</t>
  </si>
  <si>
    <t>JOB-093	Not listed in document</t>
  </si>
  <si>
    <t>JOB-094	Not listed in document</t>
  </si>
  <si>
    <t>JOB-095	Not listed in document</t>
  </si>
  <si>
    <t>JOB-096	Not listed in document</t>
  </si>
  <si>
    <t>JOB-097	Restaurant Manager (FOH) — International Market Place (Detroit</t>
  </si>
  <si>
    <t>MI 48226) | Compensation: From $60</t>
  </si>
  <si>
    <t>Weekends as needed (+2) | Benefits &amp; Features: Health insurance</t>
  </si>
  <si>
    <t>Multi-Site Practice Operations Manager</t>
  </si>
  <si>
    <t>JOB-098	Not listed in document</t>
  </si>
  <si>
    <t>JOB-099	Not listed in document</t>
  </si>
  <si>
    <t>JOB-100	Not listed in document</t>
  </si>
  <si>
    <t>JOB-101	Not listed in document</t>
  </si>
  <si>
    <t>Confidential</t>
  </si>
  <si>
    <t>JOB-102	Not listed in document</t>
  </si>
  <si>
    <t>Oakland County, MI</t>
  </si>
  <si>
    <t>JOB-103	Sales Manager — A-1 Screenprinting LLC DBA Underground Printing (Detroit</t>
  </si>
  <si>
    <t>MI 48226) | Compensation: Not specified | Employment Type: Full-time | Benefits &amp; Features: Health insurance</t>
  </si>
  <si>
    <t>JOB-104	Not listed in document</t>
  </si>
  <si>
    <t>JOB-105	Not listed in document</t>
  </si>
  <si>
    <t>JOB-106	Commercial Credit and Operations Manager — Community Choice Credit Union (Farmington Hills</t>
  </si>
  <si>
    <t>MI 48334) | Compensation: Not specified | Employment Type: Full-time | Benefits &amp; Features: Easily apply; Often replies in 1 day</t>
  </si>
  <si>
    <t>JOB-107	Not listed in document</t>
  </si>
  <si>
    <t>JOB-108	Not listed in document</t>
  </si>
  <si>
    <t>JOB-109	Project Engineer — United Wholesale Mortgage (Pontiac</t>
  </si>
  <si>
    <t>MI 48341) | Compensation: Not specified | Employment Type: Full-time | Benefits &amp; Features: Health insurance</t>
  </si>
  <si>
    <t>JOB-110	Not listed in document</t>
  </si>
  <si>
    <t>JOB-111	Not listed in document</t>
  </si>
  <si>
    <t>JOB-112	Not listed in document</t>
  </si>
  <si>
    <t>JOB-113	Not listed in document</t>
  </si>
  <si>
    <t>JOB-114	Not listed in document</t>
  </si>
  <si>
    <t>JOB-115	Not listed in document</t>
  </si>
  <si>
    <t>JOB-116	Not listed in document</t>
  </si>
  <si>
    <t>JOB-117	Customer On-Site — Traba (Livonia</t>
  </si>
  <si>
    <t>MI 48150) | Compensation: $24 - $26 an hour | Employment Type: Full-time | Benefits &amp; Features: Health insurance</t>
  </si>
  <si>
    <t>Vision insurance; New listing; Often responds in 1 day; 26 hires made in past 30 days</t>
  </si>
  <si>
    <t>JOB-118	Not listed in document</t>
  </si>
  <si>
    <t>JOB-119	Operations Manager — Merlin Entertainments (Auburn Hills</t>
  </si>
  <si>
    <t>MI) | Compensation: $64</t>
  </si>
  <si>
    <t>000 a year | Employment Type: Full-time | Benefits &amp; Features: Disability insurance</t>
  </si>
  <si>
    <t>JOB-120	Not listed in document</t>
  </si>
  <si>
    <t>JOB-121	Not listed in document</t>
  </si>
  <si>
    <t>JOB-122	Not listed in document</t>
  </si>
  <si>
    <t>JOB-123	Not listed in document</t>
  </si>
  <si>
    <t>JOB-124	Not listed in document</t>
  </si>
  <si>
    <t>JOB-125	Not listed in document</t>
  </si>
  <si>
    <t>JOB-126	Not listed in document</t>
  </si>
  <si>
    <t>JOB-127	Guest Service Manager — Aqua Tots Swim School - Aqua Tots Novi</t>
  </si>
  <si>
    <t>LLC (Novi</t>
  </si>
  <si>
    <t>MI 48377) | Compensation: $40</t>
  </si>
  <si>
    <t>000 - $45</t>
  </si>
  <si>
    <t>Monday to Friday (+1) | Benefits &amp; Features: Easily apply; Often replies in 1 day</t>
  </si>
  <si>
    <t>Salary</t>
  </si>
  <si>
    <t>Full-time</t>
  </si>
  <si>
    <t>401(k), Health insurance, Paid time off, Dental insurance</t>
  </si>
  <si>
    <t>Not Applied</t>
  </si>
  <si>
    <t>Indeed</t>
  </si>
  <si>
    <t>3 hires made in past 30 days</t>
  </si>
  <si>
    <t>JOB-002</t>
  </si>
  <si>
    <t>Restaurant Assistant General Manager</t>
  </si>
  <si>
    <t>Method Hospitality</t>
  </si>
  <si>
    <t>Detroit, MI 48226</t>
  </si>
  <si>
    <t>401(k), Health insurance, Paid time off, Vision, Dental, Life insurance</t>
  </si>
  <si>
    <t>Monday to Friday +7</t>
  </si>
  <si>
    <t>JOB-003</t>
  </si>
  <si>
    <t>Clinic Office Manager</t>
  </si>
  <si>
    <t>Orthopedic Specialists of Oakland County</t>
  </si>
  <si>
    <t>Bloomfield Hills, MI 48302</t>
  </si>
  <si>
    <t>401(k), Health insurance, Paid time off, Vision, Dental</t>
  </si>
  <si>
    <t>Minimum $55k</t>
  </si>
  <si>
    <t>JOB-004</t>
  </si>
  <si>
    <t>Veterinary Onboarding Specialist</t>
  </si>
  <si>
    <t>Snout, Inc</t>
  </si>
  <si>
    <t>Troy, MI 48083</t>
  </si>
  <si>
    <t>Paid parental leave, Health insurance, Paid time off, Vision, Dental</t>
  </si>
  <si>
    <t>JOB-005</t>
  </si>
  <si>
    <t>Trainer, End User and Operations, HRSS</t>
  </si>
  <si>
    <t>Trinity Health</t>
  </si>
  <si>
    <t>Livonia, MI 48152</t>
  </si>
  <si>
    <t>Hourly</t>
  </si>
  <si>
    <t>Health insurance, Retirement benefits</t>
  </si>
  <si>
    <t>$31.88 - $47.82/hr</t>
  </si>
  <si>
    <t>JOB-006</t>
  </si>
  <si>
    <t>Human Resources Generalist</t>
  </si>
  <si>
    <t>Pontiac General Hospital</t>
  </si>
  <si>
    <t>Pontiac, MI 48341</t>
  </si>
  <si>
    <t>401(k), Health insurance, 401(k) matching, Paid time off, Vision, Dental</t>
  </si>
  <si>
    <t>Hospital HR</t>
  </si>
  <si>
    <t>JOB-007</t>
  </si>
  <si>
    <t>Mortgage Loan Team Associate - Paid Training</t>
  </si>
  <si>
    <t>Rapid Home Lending</t>
  </si>
  <si>
    <t>Troy, MI 48084</t>
  </si>
  <si>
    <t>401(k), Paid time off, Paid training, Referral program, Professional dev</t>
  </si>
  <si>
    <t>12 hires in past 30 days; 40 hrs/wk</t>
  </si>
  <si>
    <t>JOB-008</t>
  </si>
  <si>
    <t>General Manager</t>
  </si>
  <si>
    <t>Fern Hill Golf Club</t>
  </si>
  <si>
    <t>Clinton Township, MI 48038</t>
  </si>
  <si>
    <t>Health insurance, Vision insurance, Dental insurance</t>
  </si>
  <si>
    <t>Day shift +5</t>
  </si>
  <si>
    <t>JOB-009</t>
  </si>
  <si>
    <t>Aquatics Manager</t>
  </si>
  <si>
    <t>Aqua Tots Swim School</t>
  </si>
  <si>
    <t>Farmington Hills, MI 48331</t>
  </si>
  <si>
    <t>Paid training, Opportunities for advancement</t>
  </si>
  <si>
    <t>40-45 hrs/wk, Day shift</t>
  </si>
  <si>
    <t>JOB-010</t>
  </si>
  <si>
    <t>Mortgage Loan Officer Trainee</t>
  </si>
  <si>
    <t>United Mortgage Lending</t>
  </si>
  <si>
    <t>401(k) 4% Match, Health insurance, Paid time off, Vision, Dental</t>
  </si>
  <si>
    <t>6 hires in past 30 days; Top-rated employer</t>
  </si>
  <si>
    <t>JOB-011</t>
  </si>
  <si>
    <t>Account Manager</t>
  </si>
  <si>
    <t>DJ's Landscape Management</t>
  </si>
  <si>
    <t>Wixom, MI</t>
  </si>
  <si>
    <t>401(k) matching, Vision, Dental, EAP, Disability insurance</t>
  </si>
  <si>
    <t>Commercial landscape</t>
  </si>
  <si>
    <t>JOB-012</t>
  </si>
  <si>
    <t>Novi, MI 48377</t>
  </si>
  <si>
    <t>JOB-013</t>
  </si>
  <si>
    <t>Assistant General Manager</t>
  </si>
  <si>
    <t>Taco Bell</t>
  </si>
  <si>
    <t>New Baltimore, MI 48047</t>
  </si>
  <si>
    <t>Tuition reimbursement, Health insurance, 401(k) 6% Match, Paid time off, Gym</t>
  </si>
  <si>
    <t>50 hrs/wk</t>
  </si>
  <si>
    <t>JOB-014</t>
  </si>
  <si>
    <t>Manager</t>
  </si>
  <si>
    <t>Art &amp; Jake's Sports Bar &amp; Grill</t>
  </si>
  <si>
    <t>Sterling Heights, MI 48314</t>
  </si>
  <si>
    <t>Food provided, Health insurance, Paid time off, Employee discount, Vision, Dental</t>
  </si>
  <si>
    <t>Often replies in 1 day</t>
  </si>
  <si>
    <t>JOB-015</t>
  </si>
  <si>
    <t>Food and Beverage Director</t>
  </si>
  <si>
    <t>Rev'd Up Fun</t>
  </si>
  <si>
    <t>Woodhaven, MI 48183</t>
  </si>
  <si>
    <t>Paid time off, Employee discount</t>
  </si>
  <si>
    <t>Weekends as needed +2</t>
  </si>
  <si>
    <t>JOB-016</t>
  </si>
  <si>
    <t>Administrative Assistant</t>
  </si>
  <si>
    <t>Plante Moran</t>
  </si>
  <si>
    <t>Southfield, MI</t>
  </si>
  <si>
    <t>401(k), Health insurance, Paid time off</t>
  </si>
  <si>
    <t>Professional services firm</t>
  </si>
  <si>
    <t>JOB-017</t>
  </si>
  <si>
    <t>Mortgage Loan Assistant</t>
  </si>
  <si>
    <t>Mortgage Express, INC</t>
  </si>
  <si>
    <t>Bingham Farms, MI 48025</t>
  </si>
  <si>
    <t>Paid training, Health insurance, Vision insurance, Dental insurance</t>
  </si>
  <si>
    <t>Multiple openings</t>
  </si>
  <si>
    <t>JOB-018</t>
  </si>
  <si>
    <t>Office Manager</t>
  </si>
  <si>
    <t>DeHaan Orthodontics</t>
  </si>
  <si>
    <t>Clarkston, MI 48348</t>
  </si>
  <si>
    <t>401(k), Health insurance, 401(k) matching, Paid time off, Employee discount</t>
  </si>
  <si>
    <t>35-40 hrs/wk; Top-rated employer</t>
  </si>
  <si>
    <t>JOB-019</t>
  </si>
  <si>
    <t>Area General Manager</t>
  </si>
  <si>
    <t>The Great Greek</t>
  </si>
  <si>
    <t>Ann Arbor, MI 48103</t>
  </si>
  <si>
    <t>2 hires in past 30 days</t>
  </si>
  <si>
    <t>JOB-020</t>
  </si>
  <si>
    <t>Dental Office Manager</t>
  </si>
  <si>
    <t>DENTAL DREAMS</t>
  </si>
  <si>
    <t>Ypsilanti, MI 48197</t>
  </si>
  <si>
    <t>Pet insurance, 401(k), Health insurance, Paid time off, Vision, Dental</t>
  </si>
  <si>
    <t>JOB-021</t>
  </si>
  <si>
    <t>Assistant Manager - Restaurant</t>
  </si>
  <si>
    <t>Mediterrano Restaurant</t>
  </si>
  <si>
    <t>Ann Arbor, MI 48104</t>
  </si>
  <si>
    <t>Paid training, Health insurance, Paid time off, Opportunities for advancement</t>
  </si>
  <si>
    <t>Day shift +4; Often replies in 1 day</t>
  </si>
  <si>
    <t>JOB-022</t>
  </si>
  <si>
    <t>Repayment (Collections) Supervisor</t>
  </si>
  <si>
    <t>MSGCU</t>
  </si>
  <si>
    <t>Troy, MI 48098</t>
  </si>
  <si>
    <t>Health insurance, 401(k) matching, Paid time off, Vision, HSA, Dental</t>
  </si>
  <si>
    <t>Credit union</t>
  </si>
  <si>
    <t>JOB-023</t>
  </si>
  <si>
    <t>Banquet Manager</t>
  </si>
  <si>
    <t>Royalty Manor Banquet Hall</t>
  </si>
  <si>
    <t>Dearborn Heights, MI 48127</t>
  </si>
  <si>
    <t>From $20/hr</t>
  </si>
  <si>
    <t>JOB-024</t>
  </si>
  <si>
    <t>Mortgage Loan Officer Assistant</t>
  </si>
  <si>
    <t>Paid training, Referral program, 401(k), Paid time off, Professional dev</t>
  </si>
  <si>
    <t>12 hires in past 30 days</t>
  </si>
  <si>
    <t>JOB-025</t>
  </si>
  <si>
    <t>Purpose Dental</t>
  </si>
  <si>
    <t>Howell, MI 48843</t>
  </si>
  <si>
    <t>Referral program, Paid time off, Employee discount, Vision, Paid holidays</t>
  </si>
  <si>
    <t>Flexible schedule</t>
  </si>
  <si>
    <t>JOB-026</t>
  </si>
  <si>
    <t>Entry Level Outside Sales</t>
  </si>
  <si>
    <t>Floor Tek Coatings</t>
  </si>
  <si>
    <t>Lake Orion, MI 48359</t>
  </si>
  <si>
    <t>Monday to Friday</t>
  </si>
  <si>
    <t>JOB-027</t>
  </si>
  <si>
    <t>FOH Restaurant Manager</t>
  </si>
  <si>
    <t>True North Hospitality Group</t>
  </si>
  <si>
    <t>Ann Arbor, MI</t>
  </si>
  <si>
    <t>Paid training, 401(k), Health insurance, Paid time off, Vision</t>
  </si>
  <si>
    <t>45-50 hrs/wk; 5 hires in past 30 days</t>
  </si>
  <si>
    <t>JOB-028</t>
  </si>
  <si>
    <t>Assistant Branch Manager</t>
  </si>
  <si>
    <t>Canton, MI 48188</t>
  </si>
  <si>
    <t>Ford Rd branch</t>
  </si>
  <si>
    <t>JOB-029</t>
  </si>
  <si>
    <t>Restaurant Manager</t>
  </si>
  <si>
    <t>Applebee's</t>
  </si>
  <si>
    <t>Burton, MI 48509</t>
  </si>
  <si>
    <t>Parental leave, Health insurance, Vision insurance, Dental, Paid sick time</t>
  </si>
  <si>
    <t>Often responds in 1 day</t>
  </si>
  <si>
    <t>JOB-030</t>
  </si>
  <si>
    <t>Inside Sales Representative</t>
  </si>
  <si>
    <t>Thornton &amp; Grooms</t>
  </si>
  <si>
    <t>Farmington Hills, MI 48335</t>
  </si>
  <si>
    <t>Paid parental leave, Health insurance, 401(k) matching, Paid time off, Vision</t>
  </si>
  <si>
    <t>Weekends as needed +1</t>
  </si>
  <si>
    <t>JOB-031</t>
  </si>
  <si>
    <t>Client Care Specialist</t>
  </si>
  <si>
    <t>Lendify Home Loans</t>
  </si>
  <si>
    <t>Referral program, Health insurance, Paid time off, Vision insurance, Dental</t>
  </si>
  <si>
    <t>Top-rated employer; 1 hire in past 30 days</t>
  </si>
  <si>
    <t>JOB-032</t>
  </si>
  <si>
    <t>Branch Manager</t>
  </si>
  <si>
    <t>Credit union management</t>
  </si>
  <si>
    <t>JOB-033</t>
  </si>
  <si>
    <t>Canton, MI 48187</t>
  </si>
  <si>
    <t>Michigan Ave branch</t>
  </si>
  <si>
    <t>JOB-034</t>
  </si>
  <si>
    <t>Loan Team Associate - No Experience &amp; Paid Training</t>
  </si>
  <si>
    <t>Troy, MI</t>
  </si>
  <si>
    <t>Paid training, Referral program, 401(k), Paid time off, Opportunities for advancement</t>
  </si>
  <si>
    <t>JOB-035</t>
  </si>
  <si>
    <t>Stretch Zone</t>
  </si>
  <si>
    <t>Sterling Heights, MI 48311</t>
  </si>
  <si>
    <t>Health insurance, Paid time off</t>
  </si>
  <si>
    <t>4 hires in past 30 days</t>
  </si>
  <si>
    <t>JOB-036</t>
  </si>
  <si>
    <t>University of Michigan Credit Union</t>
  </si>
  <si>
    <t>Tuition reimbursement, Pet insurance, Parental leave, Health insurance, 401(k)</t>
  </si>
  <si>
    <t>JOB-037</t>
  </si>
  <si>
    <t>Restaurant Operations Manager</t>
  </si>
  <si>
    <t>Main Event Entertainment</t>
  </si>
  <si>
    <t>Taylor, MI</t>
  </si>
  <si>
    <t>Food provided, 401(k) matching, Vision, Dental, EAP, Disability insurance</t>
  </si>
  <si>
    <t>JOB-038</t>
  </si>
  <si>
    <t>Flint, MI 48507</t>
  </si>
  <si>
    <t>Parental leave, Health insurance, Vision, Dental, Paid sick time</t>
  </si>
  <si>
    <t>JOB-039</t>
  </si>
  <si>
    <t>Store Manager</t>
  </si>
  <si>
    <t>RESSCO</t>
  </si>
  <si>
    <t>Pinckney, MI 48169</t>
  </si>
  <si>
    <t>On call; Property management</t>
  </si>
  <si>
    <t>JOB-040</t>
  </si>
  <si>
    <t>EFM - Analyst, Accounting Operations</t>
  </si>
  <si>
    <t>Estes Forwarding Worldwide, LLC</t>
  </si>
  <si>
    <t>Novi, MI 48375</t>
  </si>
  <si>
    <t>Referral program, AD&amp;D insurance, Health insurance, 401(k) matching, Vision</t>
  </si>
  <si>
    <t>Logistics / freight</t>
  </si>
  <si>
    <t>JOB-041</t>
  </si>
  <si>
    <t>Director of Sales &amp; Marketing: AL &amp; MC</t>
  </si>
  <si>
    <t>Provision Living</t>
  </si>
  <si>
    <t>South Lyon, MI 48178</t>
  </si>
  <si>
    <t>Senior living community</t>
  </si>
  <si>
    <t>JOB-042</t>
  </si>
  <si>
    <t>Taco Bell General Manager</t>
  </si>
  <si>
    <t>Great Lakes Taco</t>
  </si>
  <si>
    <t>Royal Oak, MI 48067</t>
  </si>
  <si>
    <t>Paid training, Tuition reimbursement, 401(k), Health insurance, 401(k) matching</t>
  </si>
  <si>
    <t>Up to $70k; 7 hires in past 30 days</t>
  </si>
  <si>
    <t>JOB-043</t>
  </si>
  <si>
    <t>Southfield Dentistry</t>
  </si>
  <si>
    <t>Southfield, MI 48076</t>
  </si>
  <si>
    <t>Health insurance, Paid time off, Employee discount, Vision, Dental, Paid holidays</t>
  </si>
  <si>
    <t>JOB-044</t>
  </si>
  <si>
    <t>JOB-045</t>
  </si>
  <si>
    <t>Anna's House</t>
  </si>
  <si>
    <t>Ann Arbor, MI 48108</t>
  </si>
  <si>
    <t>Health insurance, Paid time off, Vision, Dental, Opportunities for advancement</t>
  </si>
  <si>
    <t>Day shift +4</t>
  </si>
  <si>
    <t>JOB-046</t>
  </si>
  <si>
    <t>BlueWind Medical Inc</t>
  </si>
  <si>
    <t>Remote</t>
  </si>
  <si>
    <t>Remote in United States</t>
  </si>
  <si>
    <t>JOB-047</t>
  </si>
  <si>
    <t>Purchasing Supervisor</t>
  </si>
  <si>
    <t>Chem-Trend Limited Partnership</t>
  </si>
  <si>
    <t>Howell, MI</t>
  </si>
  <si>
    <t>401(k) matching, Health insurance</t>
  </si>
  <si>
    <t>Manufacturing / chemical</t>
  </si>
  <si>
    <t>JOB-048</t>
  </si>
  <si>
    <t>QA/QC Supervisor</t>
  </si>
  <si>
    <t>Valicor Environmental Services LLC</t>
  </si>
  <si>
    <t>Dearborn, MI 48126</t>
  </si>
  <si>
    <t>Health insurance, 401(k) matching, Vision, Dental, Life insurance, Disability</t>
  </si>
  <si>
    <t>Environmental services</t>
  </si>
  <si>
    <t>JOB-049</t>
  </si>
  <si>
    <t>401(k), Health insurance, Paid time off, Vision insurance, Dental insurance</t>
  </si>
  <si>
    <t>JOB-050</t>
  </si>
  <si>
    <t>Mortgage Loan Partner</t>
  </si>
  <si>
    <t>Mortgage Depot, LLC</t>
  </si>
  <si>
    <t>Southfield, MI 48033</t>
  </si>
  <si>
    <t>Health insurance, Retirement plan, 401(k) matching, Paid time off, Vision, Dental</t>
  </si>
  <si>
    <t>High commission potential</t>
  </si>
  <si>
    <t>JOB-051</t>
  </si>
  <si>
    <t>Account Executive</t>
  </si>
  <si>
    <t>KOKI HOLDINGS AMERICA LTD./METABO HPT</t>
  </si>
  <si>
    <t>Detroit, MI</t>
  </si>
  <si>
    <t>Tuition reimbursement, 401(k), Health insurance, 401(k) matching, Paid time off</t>
  </si>
  <si>
    <t>JOB-052</t>
  </si>
  <si>
    <t>Territory Sales Manager</t>
  </si>
  <si>
    <t>Auto-Wares Inc</t>
  </si>
  <si>
    <t>Pontiac, MI</t>
  </si>
  <si>
    <t>Automotive aftermarket</t>
  </si>
  <si>
    <t>JOB-053</t>
  </si>
  <si>
    <t>Key Account Manager</t>
  </si>
  <si>
    <t>US Tool Group</t>
  </si>
  <si>
    <t>Livonia, MI 48205</t>
  </si>
  <si>
    <t>401(k), Vision insurance, Dental insurance, Life insurance, Paid holidays</t>
  </si>
  <si>
    <t>Industrial tooling</t>
  </si>
  <si>
    <t>JOB-054</t>
  </si>
  <si>
    <t>Operations Manager - Ann Arbor</t>
  </si>
  <si>
    <t>Molly Maid</t>
  </si>
  <si>
    <t>Health insurance, Paid time off, Vision insurance, Opportunities for advancement</t>
  </si>
  <si>
    <t>Monday to Friday +1</t>
  </si>
  <si>
    <t>JOB-055</t>
  </si>
  <si>
    <t>Bench General Manager</t>
  </si>
  <si>
    <t>Buddy's Pizza</t>
  </si>
  <si>
    <t>Paid training, Health insurance, Paid time off, Employee discount, Vision, Dental</t>
  </si>
  <si>
    <t>50 hrs/wk; Often replies in 1 day</t>
  </si>
  <si>
    <t>JOB-056</t>
  </si>
  <si>
    <t>West Bloomfield, MI 48322</t>
  </si>
  <si>
    <t>JOB-057</t>
  </si>
  <si>
    <t>Chef Manager</t>
  </si>
  <si>
    <t>Aramark</t>
  </si>
  <si>
    <t>Wayne, MI 48184</t>
  </si>
  <si>
    <t>Health insurance, Paid time off, 401(k)</t>
  </si>
  <si>
    <t>JOB-058</t>
  </si>
  <si>
    <t>Entry Level Sales Representative</t>
  </si>
  <si>
    <t>Pure Energy Company</t>
  </si>
  <si>
    <t>Waterford, MI 48327</t>
  </si>
  <si>
    <t>Paid training, 401(k), Health insurance, Paid time off, Vision, Dental</t>
  </si>
  <si>
    <t>Renewable energy</t>
  </si>
  <si>
    <t>JOB-059</t>
  </si>
  <si>
    <t>Farmington Hills, MI 48334</t>
  </si>
  <si>
    <t>JOB-060</t>
  </si>
  <si>
    <t>Dearborn, MI 48220</t>
  </si>
  <si>
    <t>JOB-061</t>
  </si>
  <si>
    <t>Best Dental Ortonville</t>
  </si>
  <si>
    <t>Ortonville, MI 48462</t>
  </si>
  <si>
    <t>Dental experience required</t>
  </si>
  <si>
    <t>JOB-062</t>
  </si>
  <si>
    <t>Food Operations Supervisor</t>
  </si>
  <si>
    <t>Aramark (Univ of Michigan)</t>
  </si>
  <si>
    <t>Ann Arbor, MI 48109</t>
  </si>
  <si>
    <t>Nights as needed; Multiple openings</t>
  </si>
  <si>
    <t>JOB-063</t>
  </si>
  <si>
    <t>Field Manager</t>
  </si>
  <si>
    <t>Matrix Basement Finishing</t>
  </si>
  <si>
    <t>Plymouth, MI 48170</t>
  </si>
  <si>
    <t>401(k), Paid time off</t>
  </si>
  <si>
    <t>40 hrs/wk</t>
  </si>
  <si>
    <t>JOB-064</t>
  </si>
  <si>
    <t>Power Home Remodeling</t>
  </si>
  <si>
    <t>White Lake, MI 48386</t>
  </si>
  <si>
    <t>Paid training, Paid parental leave, 401(k), Health insurance, 401(k) matching</t>
  </si>
  <si>
    <t>Home remodeling sales</t>
  </si>
  <si>
    <t>JOB-065</t>
  </si>
  <si>
    <t>General Sales Manager</t>
  </si>
  <si>
    <t>Refloor</t>
  </si>
  <si>
    <t>JOB-066</t>
  </si>
  <si>
    <t>Sales Manager</t>
  </si>
  <si>
    <t>RKA Petroleum Companies</t>
  </si>
  <si>
    <t>Romulus, MI</t>
  </si>
  <si>
    <t>Fuel distribution</t>
  </si>
  <si>
    <t>JOB-067</t>
  </si>
  <si>
    <t>California Pizza Kitchen</t>
  </si>
  <si>
    <t>Health insurance, Vision insurance, Dental insurance, Disability insurance</t>
  </si>
  <si>
    <t>Somerset Mall</t>
  </si>
  <si>
    <t>JOB-068</t>
  </si>
  <si>
    <t>Brighton, MI 48116</t>
  </si>
  <si>
    <t>JOB-069</t>
  </si>
  <si>
    <t>AT&amp;T Sales Associate</t>
  </si>
  <si>
    <t>Dearborn, MI</t>
  </si>
  <si>
    <t>Salary (Weekly)</t>
  </si>
  <si>
    <t>Paid training, Travel reimbursement, Employee discount, Flexible schedule</t>
  </si>
  <si>
    <t>$1,200-$1,600/wk; 5 hires in 30 days</t>
  </si>
  <si>
    <t>JOB-070</t>
  </si>
  <si>
    <t>Hilti Store Team Lead</t>
  </si>
  <si>
    <t>Hilti</t>
  </si>
  <si>
    <t>Health insurance, 401(k), Paid time off</t>
  </si>
  <si>
    <t>Hybrid remote</t>
  </si>
  <si>
    <t>JOB-071</t>
  </si>
  <si>
    <t>Automotive Salesperson</t>
  </si>
  <si>
    <t>Marsh Auto Sales LLC</t>
  </si>
  <si>
    <t>Paid training, Commission</t>
  </si>
  <si>
    <t>Often replies in 6 days</t>
  </si>
  <si>
    <t>JOB-072</t>
  </si>
  <si>
    <t>Restaurant General Manager – KFC</t>
  </si>
  <si>
    <t>KFC (Vangeloff Management)</t>
  </si>
  <si>
    <t>Livonia, MI 48150</t>
  </si>
  <si>
    <t>Paid training, Health insurance, Paid time off, Employee discount, Dental</t>
  </si>
  <si>
    <t>Multiple openings; Flexible schedule</t>
  </si>
  <si>
    <t>JOB-073</t>
  </si>
  <si>
    <t>Cafe Zola + Zola Bistro</t>
  </si>
  <si>
    <t>Paid training, Paid time off, Employee discount, Meals stipend</t>
  </si>
  <si>
    <t>Day shift +3</t>
  </si>
  <si>
    <t>JOB-074</t>
  </si>
  <si>
    <t>Pre-Litigation Paralegal</t>
  </si>
  <si>
    <t>Elia and Ponto, PLLC</t>
  </si>
  <si>
    <t>Southfield, MI 48075</t>
  </si>
  <si>
    <t>Personal injury legal practice</t>
  </si>
  <si>
    <t>JOB-075</t>
  </si>
  <si>
    <t>Rochester Hills, MI 48307</t>
  </si>
  <si>
    <t>JOB-076</t>
  </si>
  <si>
    <t>Taylor, MI 48180</t>
  </si>
  <si>
    <t>JOB-077</t>
  </si>
  <si>
    <t>JOB-078</t>
  </si>
  <si>
    <t>Dental Ventures</t>
  </si>
  <si>
    <t>Flint, MI 48553</t>
  </si>
  <si>
    <t>8 hour shift</t>
  </si>
  <si>
    <t>JOB-079</t>
  </si>
  <si>
    <t>Relocation Manager-Arabic Bi-Lingual</t>
  </si>
  <si>
    <t>HousingToHome</t>
  </si>
  <si>
    <t>Sterling Heights, MI 48310</t>
  </si>
  <si>
    <t>Professional development, Tuition reimbursement, AD&amp;D, 401(k), Health insurance</t>
  </si>
  <si>
    <t>Bilingual Arabic required</t>
  </si>
  <si>
    <t>JOB-080</t>
  </si>
  <si>
    <t>Accounting Manager</t>
  </si>
  <si>
    <t>PASONA N A, INC.</t>
  </si>
  <si>
    <t>Novi, MI</t>
  </si>
  <si>
    <t>JOB-081</t>
  </si>
  <si>
    <t>All Dental &amp; Implant Center</t>
  </si>
  <si>
    <t>Warren, MI</t>
  </si>
  <si>
    <t>Referral program, Health insurance, Paid time off, Employee discount, Vision, Dental</t>
  </si>
  <si>
    <t>JOB-082</t>
  </si>
  <si>
    <t>Senior Accountant</t>
  </si>
  <si>
    <t>Paid parental leave, Health insurance, 401(k) matching, Employee discount, Vision</t>
  </si>
  <si>
    <t>HVAC / residential services</t>
  </si>
  <si>
    <t>JOB-083</t>
  </si>
  <si>
    <t>Sales Representative</t>
  </si>
  <si>
    <t>UHY LLP</t>
  </si>
  <si>
    <t>Professional services / accounting</t>
  </si>
  <si>
    <t>JOB-084</t>
  </si>
  <si>
    <t>Property Sales Coordinator</t>
  </si>
  <si>
    <t>RHP Properties</t>
  </si>
  <si>
    <t>Clarkston, MI</t>
  </si>
  <si>
    <t>Health insurance, 401(k) matching, Paid time off, Vision, Dental, FSA</t>
  </si>
  <si>
    <t>Manufactured housing communities</t>
  </si>
  <si>
    <t>JOB-085</t>
  </si>
  <si>
    <t>Clinton Township, MI 48035</t>
  </si>
  <si>
    <t>JOB-086</t>
  </si>
  <si>
    <t>Roof Maxx</t>
  </si>
  <si>
    <t>Rochester Hills, MI 48309</t>
  </si>
  <si>
    <t>JOB-087</t>
  </si>
  <si>
    <t>Restaurant General Manager</t>
  </si>
  <si>
    <t>Burger King</t>
  </si>
  <si>
    <t>Paid training, 401(k), Health insurance, Paid time off, Employee discount, Vision</t>
  </si>
  <si>
    <t>Quick service restaurant</t>
  </si>
  <si>
    <t>JOB-088</t>
  </si>
  <si>
    <t>Service Sales Representative</t>
  </si>
  <si>
    <t>Total Energy Systems, LLC</t>
  </si>
  <si>
    <t>Professional development, Tuition reimbursement, 401(k), Health insurance</t>
  </si>
  <si>
    <t>Power systems / generators</t>
  </si>
  <si>
    <t>JOB-089</t>
  </si>
  <si>
    <t>Westland, MI 48185</t>
  </si>
  <si>
    <t>50 hrs/wk, Multiple openings</t>
  </si>
  <si>
    <t>JOB-090</t>
  </si>
  <si>
    <t>Sales Professional</t>
  </si>
  <si>
    <t>SalesDraft Recruiting</t>
  </si>
  <si>
    <t>Commission, Opportunities for advancement</t>
  </si>
  <si>
    <t>Direct sales</t>
  </si>
  <si>
    <t>JOB-091</t>
  </si>
  <si>
    <t>JOB-092</t>
  </si>
  <si>
    <t>Bob Evans Restaurants</t>
  </si>
  <si>
    <t>Health insurance, 401(k) matching, Flexible schedule</t>
  </si>
  <si>
    <t>Up to $56k; Weekends as needed</t>
  </si>
  <si>
    <t>JOB-093</t>
  </si>
  <si>
    <t>Sales and Service Manager</t>
  </si>
  <si>
    <t>401(k) 4% Match, Health insurance, Vision, Dental, Unlimited PTO</t>
  </si>
  <si>
    <t>Home services</t>
  </si>
  <si>
    <t>JOB-094</t>
  </si>
  <si>
    <t>General Manager 719</t>
  </si>
  <si>
    <t>WhiteWater Express Car Wash</t>
  </si>
  <si>
    <t>Health insurance, 401(k) matching, Paid time off, Vision, Dental, Life</t>
  </si>
  <si>
    <t>45-50 hrs/wk</t>
  </si>
  <si>
    <t>JOB-095</t>
  </si>
  <si>
    <t>Sales Consultant (AT&amp;T)</t>
  </si>
  <si>
    <t>Equinox Collective</t>
  </si>
  <si>
    <t>Farmington Hills, MI 48336</t>
  </si>
  <si>
    <t>Professional development, Opportunities for advancement</t>
  </si>
  <si>
    <t>JOB-096</t>
  </si>
  <si>
    <t>JOB-097</t>
  </si>
  <si>
    <t>Restaurant Manager (FOH)</t>
  </si>
  <si>
    <t>International Market Place</t>
  </si>
  <si>
    <t>JOB-098</t>
  </si>
  <si>
    <t>Store Manager in Training</t>
  </si>
  <si>
    <t>Serv-U-Success</t>
  </si>
  <si>
    <t>Belleville, MI</t>
  </si>
  <si>
    <t>Cell phone reimbursement</t>
  </si>
  <si>
    <t>40-45 hrs/wk, Weekends as needed +1</t>
  </si>
  <si>
    <t>JOB-099</t>
  </si>
  <si>
    <t>Saint Clair Shores, MI 48081</t>
  </si>
  <si>
    <t>JOB-100</t>
  </si>
  <si>
    <t>Bad Brads BBQ</t>
  </si>
  <si>
    <t>Health insurance, 401(k) matching, Employee discount, Paid holidays, Flexible schedule</t>
  </si>
  <si>
    <t>Weekends as needed +3</t>
  </si>
  <si>
    <t>JOB-101</t>
  </si>
  <si>
    <t>Macomb, MI</t>
  </si>
  <si>
    <t>JOB-102</t>
  </si>
  <si>
    <t>Restaurant Manager I</t>
  </si>
  <si>
    <t>Areas USA, Inc</t>
  </si>
  <si>
    <t>Health insurance, 401(k) matching, Paid time off, Employee discount, Vision, Dental</t>
  </si>
  <si>
    <t>Airport dining / hospitality</t>
  </si>
  <si>
    <t>JOB-103</t>
  </si>
  <si>
    <t>Underground Printing</t>
  </si>
  <si>
    <t>Health insurance, 401(k) matching, Paid time off, Vision, Dental, Paid holidays</t>
  </si>
  <si>
    <t>Custom apparel</t>
  </si>
  <si>
    <t>JOB-104</t>
  </si>
  <si>
    <t>Dental Operations Manager</t>
  </si>
  <si>
    <t>Art of Dental</t>
  </si>
  <si>
    <t>Westland, MI 48186</t>
  </si>
  <si>
    <t>JOB-105</t>
  </si>
  <si>
    <t>Real Estate Lending Analyst</t>
  </si>
  <si>
    <t>Mortgage underwriting / lending</t>
  </si>
  <si>
    <t>JOB-106</t>
  </si>
  <si>
    <t>Commercial Credit and Operations Manager</t>
  </si>
  <si>
    <t>Community Choice Credit Union</t>
  </si>
  <si>
    <t>Credit union commercial credit</t>
  </si>
  <si>
    <t>JOB-107</t>
  </si>
  <si>
    <t>Royal Oak, MI 48073</t>
  </si>
  <si>
    <t>JOB-108</t>
  </si>
  <si>
    <t>In Home Inspection Sales Consultant</t>
  </si>
  <si>
    <t>Acculevel Inc.</t>
  </si>
  <si>
    <t>Fuel card, 401(k), Health insurance, 401(k) matching, Paid time off</t>
  </si>
  <si>
    <t>Foundation repair / waterproofing</t>
  </si>
  <si>
    <t>JOB-109</t>
  </si>
  <si>
    <t>Project Engineer</t>
  </si>
  <si>
    <t>United Wholesale Mortgage</t>
  </si>
  <si>
    <t>Paid training, Parental leave, Health insurance, 401(k) matching, Paid time off</t>
  </si>
  <si>
    <t>Mortgage tech &amp; operations</t>
  </si>
  <si>
    <t>JOB-110</t>
  </si>
  <si>
    <t>Dental Assistant Instructor (Part-Time)</t>
  </si>
  <si>
    <t>Dorsey College</t>
  </si>
  <si>
    <t>Detroit, MI 48228</t>
  </si>
  <si>
    <t>Part-time</t>
  </si>
  <si>
    <t>403(b), Health insurance, Vision, Dental, Life insurance, EAP</t>
  </si>
  <si>
    <t>Adjunct instructional role</t>
  </si>
  <si>
    <t>JOB-111</t>
  </si>
  <si>
    <t>Abygroups DBA Popeyes</t>
  </si>
  <si>
    <t>Lansing, MI 48911</t>
  </si>
  <si>
    <t>Paid training, 401(k), Health insurance, Paid time off, Employee discount</t>
  </si>
  <si>
    <t>Day shift +1</t>
  </si>
  <si>
    <t>JOB-112</t>
  </si>
  <si>
    <t>Client Representative (Entry Level Sales)</t>
  </si>
  <si>
    <t>Troy, MI 48007</t>
  </si>
  <si>
    <t>Professional development, Health insurance, Opportunities for advancement</t>
  </si>
  <si>
    <t>Client relations &amp; sales</t>
  </si>
  <si>
    <t>JOB-113</t>
  </si>
  <si>
    <t>Insurance Sales Producer</t>
  </si>
  <si>
    <t>Howard Beatty IV Insurance Agency</t>
  </si>
  <si>
    <t>JOB-114</t>
  </si>
  <si>
    <t>Kimball Midwest</t>
  </si>
  <si>
    <t>Detroit, MI 48201</t>
  </si>
  <si>
    <t>401(k), Health insurance, Dental insurance, Disability insurance</t>
  </si>
  <si>
    <t>Industrial sales</t>
  </si>
  <si>
    <t>JOB-115</t>
  </si>
  <si>
    <t>Account Manager SMB- Business Sales</t>
  </si>
  <si>
    <t>Verizon</t>
  </si>
  <si>
    <t>Tuition reimbursement, Pet insurance, Paid parental leave, AD&amp;D, Health insurance</t>
  </si>
  <si>
    <t>40 hrs/wk, Business telecom</t>
  </si>
  <si>
    <t>JOB-116</t>
  </si>
  <si>
    <t>Store Manager - Jiffy Lube Multicare</t>
  </si>
  <si>
    <t>Stonebriar Auto Services LLC</t>
  </si>
  <si>
    <t>Health insurance, Paid time off, Dental, Life insurance, Leadership training</t>
  </si>
  <si>
    <t>Automotive retail</t>
  </si>
  <si>
    <t>JOB-117</t>
  </si>
  <si>
    <t>Customer On-Site</t>
  </si>
  <si>
    <t>Traba</t>
  </si>
  <si>
    <t>Health insurance, Vision insurance</t>
  </si>
  <si>
    <t>26 hires in 30 days; Often responds in 1 day</t>
  </si>
  <si>
    <t>JOB-118</t>
  </si>
  <si>
    <t>Chief of Staff (Referral Circle Seat)</t>
  </si>
  <si>
    <t>Referna Network</t>
  </si>
  <si>
    <t>Contract</t>
  </si>
  <si>
    <t>Health insurance, Remote stipend</t>
  </si>
  <si>
    <t>Remote contract</t>
  </si>
  <si>
    <t>JOB-119</t>
  </si>
  <si>
    <t>Operations Manager</t>
  </si>
  <si>
    <t>Merlin Entertainments</t>
  </si>
  <si>
    <t>Auburn Hills, MI</t>
  </si>
  <si>
    <t>Disability insurance, Health insurance</t>
  </si>
  <si>
    <t>Entertainment attractions</t>
  </si>
  <si>
    <t>JOB-120</t>
  </si>
  <si>
    <t>Investment Operations and Client Service Associate</t>
  </si>
  <si>
    <t>Backman Wealth Management</t>
  </si>
  <si>
    <t>Grosse Pointe Farms, MI 48236</t>
  </si>
  <si>
    <t>Health insurance, 401(k) matching, Paid time off, Vision, Dental, Profit sharing</t>
  </si>
  <si>
    <t>Wealth management</t>
  </si>
  <si>
    <t>JOB-121</t>
  </si>
  <si>
    <t>Clinical Operations Specialist</t>
  </si>
  <si>
    <t>StoryPoint</t>
  </si>
  <si>
    <t>Rochester, MI 48306</t>
  </si>
  <si>
    <t>Senior living operations</t>
  </si>
  <si>
    <t>JOB-122</t>
  </si>
  <si>
    <t>Recruiter</t>
  </si>
  <si>
    <t>Victors Home Solutions</t>
  </si>
  <si>
    <t>Referral program, Health insurance, 401(k) matching, Paid time off, Vision, Dental</t>
  </si>
  <si>
    <t>Talent acquisition</t>
  </si>
  <si>
    <t>JOB-123</t>
  </si>
  <si>
    <t>Construction Scheduler / BIM Coordinator</t>
  </si>
  <si>
    <t>LaSalle</t>
  </si>
  <si>
    <t>Southfield, MI 48034</t>
  </si>
  <si>
    <t>401(k), Health insurance</t>
  </si>
  <si>
    <t>Hybrid remote; Commercial construction</t>
  </si>
  <si>
    <t>JOB-124</t>
  </si>
  <si>
    <t>Legal Administrative Assistant</t>
  </si>
  <si>
    <t>Dickie, McCamey &amp; Chilcote</t>
  </si>
  <si>
    <t>Grosse Pointe, MI</t>
  </si>
  <si>
    <t>401(k), Health insurance, Retirement plan, Paid time off, Vision, HSA</t>
  </si>
  <si>
    <t>Hybrid remote; Law firm</t>
  </si>
  <si>
    <t>JOB-125</t>
  </si>
  <si>
    <t>Program Manager - Automotive</t>
  </si>
  <si>
    <t>US Farathane</t>
  </si>
  <si>
    <t>Auburn Hills, MI 48326</t>
  </si>
  <si>
    <t>Tier 1 automotive supplier</t>
  </si>
  <si>
    <t>JOB-126</t>
  </si>
  <si>
    <t>Dual Sales Manager</t>
  </si>
  <si>
    <t>Holiday Inn Express &amp; Suites</t>
  </si>
  <si>
    <t>Rochester, MI 48309</t>
  </si>
  <si>
    <t>Referral program, 401(k), Health insurance, Paid time off, Vision</t>
  </si>
  <si>
    <t>Hospitality sales</t>
  </si>
  <si>
    <t>JOB-127</t>
  </si>
  <si>
    <t>Guest Service Manager</t>
  </si>
  <si>
    <t>40 hrs/wk, Monday to Friday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</si>
</sst>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3A4773"/>
      <name val="Arial"/>
      <scheme val="minor"/>
    </font>
    <font>
      <sz val="10.0"/>
      <color theme="1"/>
      <name val="Roboto"/>
    </font>
    <font>
      <b/>
      <sz val="16.0"/>
      <color rgb="FF1A2552"/>
      <name val="Arial"/>
      <scheme val="minor"/>
    </font>
    <font>
      <b/>
      <sz val="10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9ECF8"/>
        <bgColor rgb="FFE9ECF8"/>
      </patternFill>
    </fill>
    <fill>
      <patternFill patternType="solid">
        <fgColor rgb="FF344479"/>
        <bgColor rgb="FF34447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Font="1"/>
    <xf borderId="0" fillId="2" fontId="5" numFmtId="3" xfId="0" applyAlignment="1" applyFill="1" applyFont="1" applyNumberFormat="1">
      <alignment horizontal="center" vertical="center"/>
    </xf>
    <xf borderId="0" fillId="3" fontId="5" numFmtId="3" xfId="0" applyAlignment="1" applyFill="1" applyFont="1" applyNumberFormat="1">
      <alignment horizontal="center" vertical="center"/>
    </xf>
    <xf borderId="0" fillId="3" fontId="5" numFmtId="164" xfId="0" applyAlignment="1" applyFill="1" applyFont="1" applyNumberFormat="1">
      <alignment horizontal="center" vertical="center"/>
    </xf>
    <xf borderId="0" fillId="4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left" readingOrder="0" vertical="center"/>
    </xf>
    <xf borderId="0" fillId="4" fontId="6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horizontal="right" readingOrder="0" vertical="center"/>
    </xf>
    <xf borderId="0" fillId="0" fontId="4" numFmtId="164" xfId="0" applyAlignment="1" applyFont="1" applyNumberForma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D"/>
          <bgColor rgb="FFF6F8FD"/>
        </patternFill>
      </fill>
      <border/>
    </dxf>
  </dxfs>
  <tableStyles count="1">
    <tableStyle count="2" pivot="0" name="Job Opportunit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M13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Job Opportu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39.38"/>
    <col customWidth="1" min="3" max="3" width="34.25"/>
    <col customWidth="1" min="4" max="4" width="23.63"/>
    <col customWidth="1" min="5" max="5" width="11.0"/>
    <col customWidth="1" min="6" max="6" width="9.0"/>
    <col customWidth="1" min="7" max="7" width="8.75"/>
    <col customWidth="1" min="8" max="8" width="12.0"/>
    <col customWidth="1" min="9" max="9" width="14.0"/>
    <col customWidth="1" min="10" max="10" width="63.63"/>
    <col customWidth="1" min="11" max="11" width="14.38"/>
    <col customWidth="1" min="12" max="12" width="5.88"/>
    <col customWidth="1" min="13" max="13" width="32.25"/>
  </cols>
  <sheetData>
    <row r="1" ht="21.0" customHeight="1">
      <c r="A1" s="4"/>
      <c r="B1" s="5" t="s">
        <v>51</v>
      </c>
      <c r="C1" s="5" t="s">
        <v>62</v>
      </c>
      <c r="D1" s="5" t="s">
        <v>64</v>
      </c>
      <c r="E1" s="5" t="s">
        <v>67</v>
      </c>
      <c r="F1" s="6"/>
      <c r="G1" s="6"/>
      <c r="H1" s="6"/>
      <c r="I1" s="6"/>
      <c r="J1" s="6"/>
      <c r="K1" s="6"/>
      <c r="L1" s="6"/>
      <c r="M1" s="6"/>
    </row>
    <row r="2" ht="27.0" customHeight="1">
      <c r="A2" s="7"/>
      <c r="B2" s="8">
        <f>COUNTA(B5:B131)</f>
        <v>127</v>
      </c>
      <c r="C2" s="9">
        <f>AVERAGEIF(G5:G131, "&gt;=1000")</f>
        <v>74030.86782</v>
      </c>
      <c r="D2" s="9">
        <f>MAX(F5:F131)</f>
        <v>250000</v>
      </c>
      <c r="E2" s="8">
        <f>IFERROR(__xludf.DUMMYFUNCTION("COUNTUNIQUE(D5:D131)"),87.0)</f>
        <v>87</v>
      </c>
      <c r="F2" s="6"/>
      <c r="G2" s="6"/>
      <c r="H2" s="6"/>
      <c r="I2" s="6"/>
      <c r="J2" s="6"/>
      <c r="K2" s="6"/>
      <c r="L2" s="6"/>
      <c r="M2" s="6"/>
    </row>
    <row r="3" ht="10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24.0" customHeight="1">
      <c r="A4" s="10" t="s">
        <v>189</v>
      </c>
      <c r="B4" s="11" t="s">
        <v>199</v>
      </c>
      <c r="C4" s="11" t="s">
        <v>207</v>
      </c>
      <c r="D4" s="11" t="s">
        <v>208</v>
      </c>
      <c r="E4" s="12" t="s">
        <v>211</v>
      </c>
      <c r="F4" s="12" t="s">
        <v>215</v>
      </c>
      <c r="G4" s="12" t="s">
        <v>217</v>
      </c>
      <c r="H4" s="10" t="s">
        <v>219</v>
      </c>
      <c r="I4" s="10" t="s">
        <v>220</v>
      </c>
      <c r="J4" s="11" t="s">
        <v>221</v>
      </c>
      <c r="K4" s="10" t="s">
        <v>222</v>
      </c>
      <c r="L4" s="10" t="s">
        <v>223</v>
      </c>
      <c r="M4" s="11" t="s">
        <v>224</v>
      </c>
    </row>
    <row r="5" ht="22.5" customHeight="1">
      <c r="A5" s="13" t="s">
        <v>227</v>
      </c>
      <c r="B5" s="14" t="s">
        <v>236</v>
      </c>
      <c r="C5" s="14" t="s">
        <v>241</v>
      </c>
      <c r="D5" s="14" t="s">
        <v>243</v>
      </c>
      <c r="E5" s="15">
        <v>65000.0</v>
      </c>
      <c r="F5" s="15">
        <v>75000.0</v>
      </c>
      <c r="G5" s="16">
        <f t="shared" ref="G5:G131" si="1">IF(AND(ISNUMBER(E5),ISNUMBER(F5)),AVERAGE(E5:F5),IF(ISNUMBER(E5),E5,IF(ISNUMBER(F5),F5,"")))</f>
        <v>70000</v>
      </c>
      <c r="H5" s="13" t="s">
        <v>280</v>
      </c>
      <c r="I5" s="13" t="s">
        <v>281</v>
      </c>
      <c r="J5" s="14" t="s">
        <v>282</v>
      </c>
      <c r="K5" s="13" t="s">
        <v>283</v>
      </c>
      <c r="L5" s="13" t="s">
        <v>284</v>
      </c>
      <c r="M5" s="14" t="s">
        <v>285</v>
      </c>
    </row>
    <row r="6" ht="22.5" customHeight="1">
      <c r="A6" s="13" t="s">
        <v>286</v>
      </c>
      <c r="B6" s="14" t="s">
        <v>287</v>
      </c>
      <c r="C6" s="14" t="s">
        <v>288</v>
      </c>
      <c r="D6" s="14" t="s">
        <v>289</v>
      </c>
      <c r="E6" s="15">
        <v>70000.0</v>
      </c>
      <c r="F6" s="15">
        <v>75000.0</v>
      </c>
      <c r="G6" s="16">
        <f t="shared" si="1"/>
        <v>72500</v>
      </c>
      <c r="H6" s="13" t="s">
        <v>280</v>
      </c>
      <c r="I6" s="13" t="s">
        <v>281</v>
      </c>
      <c r="J6" s="14" t="s">
        <v>290</v>
      </c>
      <c r="K6" s="13" t="s">
        <v>283</v>
      </c>
      <c r="L6" s="13" t="s">
        <v>284</v>
      </c>
      <c r="M6" s="14" t="s">
        <v>291</v>
      </c>
    </row>
    <row r="7" ht="22.5" customHeight="1">
      <c r="A7" s="13" t="s">
        <v>292</v>
      </c>
      <c r="B7" s="14" t="s">
        <v>293</v>
      </c>
      <c r="C7" s="14" t="s">
        <v>294</v>
      </c>
      <c r="D7" s="14" t="s">
        <v>295</v>
      </c>
      <c r="E7" s="15">
        <v>55000.0</v>
      </c>
      <c r="F7" s="16"/>
      <c r="G7" s="16">
        <f t="shared" si="1"/>
        <v>55000</v>
      </c>
      <c r="H7" s="13" t="s">
        <v>280</v>
      </c>
      <c r="I7" s="13" t="s">
        <v>281</v>
      </c>
      <c r="J7" s="14" t="s">
        <v>296</v>
      </c>
      <c r="K7" s="13" t="s">
        <v>283</v>
      </c>
      <c r="L7" s="13" t="s">
        <v>284</v>
      </c>
      <c r="M7" s="14" t="s">
        <v>297</v>
      </c>
    </row>
    <row r="8" ht="22.5" customHeight="1">
      <c r="A8" s="13" t="s">
        <v>298</v>
      </c>
      <c r="B8" s="14" t="s">
        <v>299</v>
      </c>
      <c r="C8" s="14" t="s">
        <v>300</v>
      </c>
      <c r="D8" s="14" t="s">
        <v>301</v>
      </c>
      <c r="E8" s="15">
        <v>55000.0</v>
      </c>
      <c r="F8" s="15">
        <v>60000.0</v>
      </c>
      <c r="G8" s="16">
        <f t="shared" si="1"/>
        <v>57500</v>
      </c>
      <c r="H8" s="13" t="s">
        <v>280</v>
      </c>
      <c r="I8" s="13" t="s">
        <v>281</v>
      </c>
      <c r="J8" s="14" t="s">
        <v>302</v>
      </c>
      <c r="K8" s="13" t="s">
        <v>283</v>
      </c>
      <c r="L8" s="13" t="s">
        <v>284</v>
      </c>
      <c r="M8" s="14"/>
    </row>
    <row r="9" ht="22.5" customHeight="1">
      <c r="A9" s="13" t="s">
        <v>303</v>
      </c>
      <c r="B9" s="14" t="s">
        <v>304</v>
      </c>
      <c r="C9" s="14" t="s">
        <v>305</v>
      </c>
      <c r="D9" s="14" t="s">
        <v>306</v>
      </c>
      <c r="E9" s="15">
        <v>31.88</v>
      </c>
      <c r="F9" s="15">
        <v>47.82</v>
      </c>
      <c r="G9" s="16">
        <f t="shared" si="1"/>
        <v>39.85</v>
      </c>
      <c r="H9" s="13" t="s">
        <v>307</v>
      </c>
      <c r="I9" s="13" t="s">
        <v>281</v>
      </c>
      <c r="J9" s="14" t="s">
        <v>308</v>
      </c>
      <c r="K9" s="13" t="s">
        <v>283</v>
      </c>
      <c r="L9" s="13" t="s">
        <v>284</v>
      </c>
      <c r="M9" s="14" t="s">
        <v>309</v>
      </c>
    </row>
    <row r="10" ht="22.5" customHeight="1">
      <c r="A10" s="13" t="s">
        <v>310</v>
      </c>
      <c r="B10" s="14" t="s">
        <v>311</v>
      </c>
      <c r="C10" s="14" t="s">
        <v>312</v>
      </c>
      <c r="D10" s="14" t="s">
        <v>313</v>
      </c>
      <c r="E10" s="15">
        <v>48000.0</v>
      </c>
      <c r="F10" s="15">
        <v>55000.0</v>
      </c>
      <c r="G10" s="16">
        <f t="shared" si="1"/>
        <v>51500</v>
      </c>
      <c r="H10" s="13" t="s">
        <v>280</v>
      </c>
      <c r="I10" s="13" t="s">
        <v>281</v>
      </c>
      <c r="J10" s="14" t="s">
        <v>314</v>
      </c>
      <c r="K10" s="13" t="s">
        <v>283</v>
      </c>
      <c r="L10" s="13" t="s">
        <v>284</v>
      </c>
      <c r="M10" s="14" t="s">
        <v>315</v>
      </c>
    </row>
    <row r="11" ht="22.5" customHeight="1">
      <c r="A11" s="13" t="s">
        <v>316</v>
      </c>
      <c r="B11" s="14" t="s">
        <v>317</v>
      </c>
      <c r="C11" s="14" t="s">
        <v>318</v>
      </c>
      <c r="D11" s="14" t="s">
        <v>319</v>
      </c>
      <c r="E11" s="15">
        <v>60000.0</v>
      </c>
      <c r="F11" s="15">
        <v>130000.0</v>
      </c>
      <c r="G11" s="16">
        <f t="shared" si="1"/>
        <v>95000</v>
      </c>
      <c r="H11" s="13" t="s">
        <v>280</v>
      </c>
      <c r="I11" s="13" t="s">
        <v>281</v>
      </c>
      <c r="J11" s="14" t="s">
        <v>320</v>
      </c>
      <c r="K11" s="13" t="s">
        <v>283</v>
      </c>
      <c r="L11" s="13" t="s">
        <v>284</v>
      </c>
      <c r="M11" s="14" t="s">
        <v>321</v>
      </c>
    </row>
    <row r="12" ht="22.5" customHeight="1">
      <c r="A12" s="13" t="s">
        <v>322</v>
      </c>
      <c r="B12" s="14" t="s">
        <v>323</v>
      </c>
      <c r="C12" s="14" t="s">
        <v>324</v>
      </c>
      <c r="D12" s="14" t="s">
        <v>325</v>
      </c>
      <c r="E12" s="15">
        <v>50000.0</v>
      </c>
      <c r="F12" s="15">
        <v>55000.0</v>
      </c>
      <c r="G12" s="16">
        <f t="shared" si="1"/>
        <v>52500</v>
      </c>
      <c r="H12" s="13" t="s">
        <v>280</v>
      </c>
      <c r="I12" s="13" t="s">
        <v>281</v>
      </c>
      <c r="J12" s="14" t="s">
        <v>326</v>
      </c>
      <c r="K12" s="13" t="s">
        <v>283</v>
      </c>
      <c r="L12" s="13" t="s">
        <v>284</v>
      </c>
      <c r="M12" s="14" t="s">
        <v>327</v>
      </c>
    </row>
    <row r="13" ht="22.5" customHeight="1">
      <c r="A13" s="13" t="s">
        <v>328</v>
      </c>
      <c r="B13" s="14" t="s">
        <v>329</v>
      </c>
      <c r="C13" s="14" t="s">
        <v>330</v>
      </c>
      <c r="D13" s="14" t="s">
        <v>331</v>
      </c>
      <c r="E13" s="15">
        <v>50000.0</v>
      </c>
      <c r="F13" s="15">
        <v>55000.0</v>
      </c>
      <c r="G13" s="16">
        <f t="shared" si="1"/>
        <v>52500</v>
      </c>
      <c r="H13" s="13" t="s">
        <v>280</v>
      </c>
      <c r="I13" s="13" t="s">
        <v>281</v>
      </c>
      <c r="J13" s="14" t="s">
        <v>332</v>
      </c>
      <c r="K13" s="13" t="s">
        <v>283</v>
      </c>
      <c r="L13" s="13" t="s">
        <v>284</v>
      </c>
      <c r="M13" s="14" t="s">
        <v>333</v>
      </c>
    </row>
    <row r="14" ht="22.5" customHeight="1">
      <c r="A14" s="13" t="s">
        <v>334</v>
      </c>
      <c r="B14" s="14" t="s">
        <v>335</v>
      </c>
      <c r="C14" s="14" t="s">
        <v>336</v>
      </c>
      <c r="D14" s="14" t="s">
        <v>319</v>
      </c>
      <c r="E14" s="15">
        <v>50000.0</v>
      </c>
      <c r="F14" s="15">
        <v>120000.0</v>
      </c>
      <c r="G14" s="16">
        <f t="shared" si="1"/>
        <v>85000</v>
      </c>
      <c r="H14" s="13" t="s">
        <v>280</v>
      </c>
      <c r="I14" s="13" t="s">
        <v>281</v>
      </c>
      <c r="J14" s="14" t="s">
        <v>337</v>
      </c>
      <c r="K14" s="13" t="s">
        <v>283</v>
      </c>
      <c r="L14" s="13" t="s">
        <v>284</v>
      </c>
      <c r="M14" s="14" t="s">
        <v>338</v>
      </c>
    </row>
    <row r="15" ht="22.5" customHeight="1">
      <c r="A15" s="13" t="s">
        <v>339</v>
      </c>
      <c r="B15" s="14" t="s">
        <v>340</v>
      </c>
      <c r="C15" s="14" t="s">
        <v>341</v>
      </c>
      <c r="D15" s="14" t="s">
        <v>342</v>
      </c>
      <c r="E15" s="15">
        <v>50000.0</v>
      </c>
      <c r="F15" s="15">
        <v>95000.0</v>
      </c>
      <c r="G15" s="16">
        <f t="shared" si="1"/>
        <v>72500</v>
      </c>
      <c r="H15" s="13" t="s">
        <v>280</v>
      </c>
      <c r="I15" s="13" t="s">
        <v>281</v>
      </c>
      <c r="J15" s="14" t="s">
        <v>343</v>
      </c>
      <c r="K15" s="13" t="s">
        <v>283</v>
      </c>
      <c r="L15" s="13" t="s">
        <v>284</v>
      </c>
      <c r="M15" s="14" t="s">
        <v>344</v>
      </c>
    </row>
    <row r="16" ht="22.5" customHeight="1">
      <c r="A16" s="13" t="s">
        <v>345</v>
      </c>
      <c r="B16" s="14" t="s">
        <v>329</v>
      </c>
      <c r="C16" s="14" t="s">
        <v>330</v>
      </c>
      <c r="D16" s="14" t="s">
        <v>346</v>
      </c>
      <c r="E16" s="15">
        <v>50000.0</v>
      </c>
      <c r="F16" s="15">
        <v>55000.0</v>
      </c>
      <c r="G16" s="16">
        <f t="shared" si="1"/>
        <v>52500</v>
      </c>
      <c r="H16" s="13" t="s">
        <v>280</v>
      </c>
      <c r="I16" s="13" t="s">
        <v>281</v>
      </c>
      <c r="J16" s="14" t="s">
        <v>332</v>
      </c>
      <c r="K16" s="13" t="s">
        <v>283</v>
      </c>
      <c r="L16" s="13" t="s">
        <v>284</v>
      </c>
      <c r="M16" s="14" t="s">
        <v>333</v>
      </c>
    </row>
    <row r="17" ht="22.5" customHeight="1">
      <c r="A17" s="13" t="s">
        <v>347</v>
      </c>
      <c r="B17" s="14" t="s">
        <v>348</v>
      </c>
      <c r="C17" s="14" t="s">
        <v>349</v>
      </c>
      <c r="D17" s="14" t="s">
        <v>350</v>
      </c>
      <c r="E17" s="15">
        <v>48000.0</v>
      </c>
      <c r="F17" s="15">
        <v>60000.0</v>
      </c>
      <c r="G17" s="16">
        <f t="shared" si="1"/>
        <v>54000</v>
      </c>
      <c r="H17" s="13" t="s">
        <v>280</v>
      </c>
      <c r="I17" s="13" t="s">
        <v>281</v>
      </c>
      <c r="J17" s="14" t="s">
        <v>351</v>
      </c>
      <c r="K17" s="13" t="s">
        <v>283</v>
      </c>
      <c r="L17" s="13" t="s">
        <v>284</v>
      </c>
      <c r="M17" s="14" t="s">
        <v>352</v>
      </c>
    </row>
    <row r="18" ht="22.5" customHeight="1">
      <c r="A18" s="13" t="s">
        <v>353</v>
      </c>
      <c r="B18" s="14" t="s">
        <v>354</v>
      </c>
      <c r="C18" s="14" t="s">
        <v>355</v>
      </c>
      <c r="D18" s="14" t="s">
        <v>356</v>
      </c>
      <c r="E18" s="15">
        <v>60000.0</v>
      </c>
      <c r="F18" s="15">
        <v>75000.0</v>
      </c>
      <c r="G18" s="16">
        <f t="shared" si="1"/>
        <v>67500</v>
      </c>
      <c r="H18" s="13" t="s">
        <v>280</v>
      </c>
      <c r="I18" s="13" t="s">
        <v>281</v>
      </c>
      <c r="J18" s="14" t="s">
        <v>357</v>
      </c>
      <c r="K18" s="13" t="s">
        <v>283</v>
      </c>
      <c r="L18" s="13" t="s">
        <v>284</v>
      </c>
      <c r="M18" s="14" t="s">
        <v>358</v>
      </c>
    </row>
    <row r="19" ht="22.5" customHeight="1">
      <c r="A19" s="13" t="s">
        <v>359</v>
      </c>
      <c r="B19" s="14" t="s">
        <v>360</v>
      </c>
      <c r="C19" s="14" t="s">
        <v>361</v>
      </c>
      <c r="D19" s="14" t="s">
        <v>362</v>
      </c>
      <c r="E19" s="15">
        <v>50000.0</v>
      </c>
      <c r="F19" s="15">
        <v>55000.0</v>
      </c>
      <c r="G19" s="16">
        <f t="shared" si="1"/>
        <v>52500</v>
      </c>
      <c r="H19" s="13" t="s">
        <v>280</v>
      </c>
      <c r="I19" s="13" t="s">
        <v>281</v>
      </c>
      <c r="J19" s="14" t="s">
        <v>363</v>
      </c>
      <c r="K19" s="13" t="s">
        <v>283</v>
      </c>
      <c r="L19" s="13" t="s">
        <v>284</v>
      </c>
      <c r="M19" s="14" t="s">
        <v>364</v>
      </c>
    </row>
    <row r="20" ht="22.5" customHeight="1">
      <c r="A20" s="13" t="s">
        <v>365</v>
      </c>
      <c r="B20" s="14" t="s">
        <v>366</v>
      </c>
      <c r="C20" s="14" t="s">
        <v>367</v>
      </c>
      <c r="D20" s="14" t="s">
        <v>368</v>
      </c>
      <c r="E20" s="15">
        <v>23.5</v>
      </c>
      <c r="F20" s="15">
        <v>38.74</v>
      </c>
      <c r="G20" s="16">
        <f t="shared" si="1"/>
        <v>31.12</v>
      </c>
      <c r="H20" s="13" t="s">
        <v>307</v>
      </c>
      <c r="I20" s="13" t="s">
        <v>281</v>
      </c>
      <c r="J20" s="14" t="s">
        <v>369</v>
      </c>
      <c r="K20" s="13" t="s">
        <v>283</v>
      </c>
      <c r="L20" s="13" t="s">
        <v>284</v>
      </c>
      <c r="M20" s="14" t="s">
        <v>370</v>
      </c>
    </row>
    <row r="21" ht="22.5" customHeight="1">
      <c r="A21" s="13" t="s">
        <v>371</v>
      </c>
      <c r="B21" s="14" t="s">
        <v>372</v>
      </c>
      <c r="C21" s="14" t="s">
        <v>373</v>
      </c>
      <c r="D21" s="14" t="s">
        <v>374</v>
      </c>
      <c r="E21" s="15">
        <v>80000.0</v>
      </c>
      <c r="F21" s="15">
        <v>160000.0</v>
      </c>
      <c r="G21" s="16">
        <f t="shared" si="1"/>
        <v>120000</v>
      </c>
      <c r="H21" s="13" t="s">
        <v>280</v>
      </c>
      <c r="I21" s="13" t="s">
        <v>281</v>
      </c>
      <c r="J21" s="14" t="s">
        <v>375</v>
      </c>
      <c r="K21" s="13" t="s">
        <v>283</v>
      </c>
      <c r="L21" s="13" t="s">
        <v>284</v>
      </c>
      <c r="M21" s="14" t="s">
        <v>376</v>
      </c>
    </row>
    <row r="22" ht="22.5" customHeight="1">
      <c r="A22" s="13" t="s">
        <v>377</v>
      </c>
      <c r="B22" s="14" t="s">
        <v>378</v>
      </c>
      <c r="C22" s="14" t="s">
        <v>379</v>
      </c>
      <c r="D22" s="14" t="s">
        <v>380</v>
      </c>
      <c r="E22" s="16"/>
      <c r="F22" s="16"/>
      <c r="G22" s="16" t="str">
        <f t="shared" si="1"/>
        <v/>
      </c>
      <c r="H22" s="13" t="s">
        <v>280</v>
      </c>
      <c r="I22" s="13" t="s">
        <v>281</v>
      </c>
      <c r="J22" s="14" t="s">
        <v>381</v>
      </c>
      <c r="K22" s="13" t="s">
        <v>283</v>
      </c>
      <c r="L22" s="13" t="s">
        <v>284</v>
      </c>
      <c r="M22" s="14" t="s">
        <v>382</v>
      </c>
    </row>
    <row r="23" ht="22.5" customHeight="1">
      <c r="A23" s="13" t="s">
        <v>383</v>
      </c>
      <c r="B23" s="14" t="s">
        <v>384</v>
      </c>
      <c r="C23" s="14" t="s">
        <v>385</v>
      </c>
      <c r="D23" s="14" t="s">
        <v>386</v>
      </c>
      <c r="E23" s="15">
        <v>55000.0</v>
      </c>
      <c r="F23" s="15">
        <v>65000.0</v>
      </c>
      <c r="G23" s="16">
        <f t="shared" si="1"/>
        <v>60000</v>
      </c>
      <c r="H23" s="13" t="s">
        <v>280</v>
      </c>
      <c r="I23" s="13" t="s">
        <v>281</v>
      </c>
      <c r="J23" s="14" t="s">
        <v>332</v>
      </c>
      <c r="K23" s="13" t="s">
        <v>283</v>
      </c>
      <c r="L23" s="13" t="s">
        <v>284</v>
      </c>
      <c r="M23" s="14" t="s">
        <v>387</v>
      </c>
    </row>
    <row r="24" ht="22.5" customHeight="1">
      <c r="A24" s="13" t="s">
        <v>388</v>
      </c>
      <c r="B24" s="14" t="s">
        <v>389</v>
      </c>
      <c r="C24" s="14" t="s">
        <v>390</v>
      </c>
      <c r="D24" s="14" t="s">
        <v>391</v>
      </c>
      <c r="E24" s="15">
        <v>45000.0</v>
      </c>
      <c r="F24" s="15">
        <v>55000.0</v>
      </c>
      <c r="G24" s="16">
        <f t="shared" si="1"/>
        <v>50000</v>
      </c>
      <c r="H24" s="13" t="s">
        <v>280</v>
      </c>
      <c r="I24" s="13" t="s">
        <v>281</v>
      </c>
      <c r="J24" s="14" t="s">
        <v>392</v>
      </c>
      <c r="K24" s="13" t="s">
        <v>283</v>
      </c>
      <c r="L24" s="13" t="s">
        <v>284</v>
      </c>
      <c r="M24" s="14" t="s">
        <v>358</v>
      </c>
    </row>
    <row r="25" ht="22.5" customHeight="1">
      <c r="A25" s="13" t="s">
        <v>393</v>
      </c>
      <c r="B25" s="14" t="s">
        <v>394</v>
      </c>
      <c r="C25" s="14" t="s">
        <v>395</v>
      </c>
      <c r="D25" s="14" t="s">
        <v>396</v>
      </c>
      <c r="E25" s="15">
        <v>55000.0</v>
      </c>
      <c r="F25" s="15">
        <v>70000.0</v>
      </c>
      <c r="G25" s="16">
        <f t="shared" si="1"/>
        <v>62500</v>
      </c>
      <c r="H25" s="13" t="s">
        <v>280</v>
      </c>
      <c r="I25" s="13" t="s">
        <v>281</v>
      </c>
      <c r="J25" s="14" t="s">
        <v>397</v>
      </c>
      <c r="K25" s="13" t="s">
        <v>283</v>
      </c>
      <c r="L25" s="13" t="s">
        <v>284</v>
      </c>
      <c r="M25" s="14" t="s">
        <v>398</v>
      </c>
    </row>
    <row r="26" ht="22.5" customHeight="1">
      <c r="A26" s="13" t="s">
        <v>399</v>
      </c>
      <c r="B26" s="14" t="s">
        <v>400</v>
      </c>
      <c r="C26" s="14" t="s">
        <v>401</v>
      </c>
      <c r="D26" s="14" t="s">
        <v>402</v>
      </c>
      <c r="E26" s="15">
        <v>62500.0</v>
      </c>
      <c r="F26" s="16"/>
      <c r="G26" s="16">
        <f t="shared" si="1"/>
        <v>62500</v>
      </c>
      <c r="H26" s="13" t="s">
        <v>280</v>
      </c>
      <c r="I26" s="13" t="s">
        <v>281</v>
      </c>
      <c r="J26" s="14" t="s">
        <v>403</v>
      </c>
      <c r="K26" s="13" t="s">
        <v>283</v>
      </c>
      <c r="L26" s="13" t="s">
        <v>284</v>
      </c>
      <c r="M26" s="14" t="s">
        <v>404</v>
      </c>
    </row>
    <row r="27" ht="22.5" customHeight="1">
      <c r="A27" s="13" t="s">
        <v>405</v>
      </c>
      <c r="B27" s="14" t="s">
        <v>406</v>
      </c>
      <c r="C27" s="14" t="s">
        <v>407</v>
      </c>
      <c r="D27" s="14" t="s">
        <v>408</v>
      </c>
      <c r="E27" s="15">
        <v>20.0</v>
      </c>
      <c r="F27" s="16"/>
      <c r="G27" s="16">
        <f t="shared" si="1"/>
        <v>20</v>
      </c>
      <c r="H27" s="13" t="s">
        <v>307</v>
      </c>
      <c r="I27" s="13" t="s">
        <v>281</v>
      </c>
      <c r="J27" s="14" t="s">
        <v>332</v>
      </c>
      <c r="K27" s="13" t="s">
        <v>283</v>
      </c>
      <c r="L27" s="13" t="s">
        <v>284</v>
      </c>
      <c r="M27" s="14" t="s">
        <v>409</v>
      </c>
    </row>
    <row r="28" ht="22.5" customHeight="1">
      <c r="A28" s="13" t="s">
        <v>410</v>
      </c>
      <c r="B28" s="14" t="s">
        <v>411</v>
      </c>
      <c r="C28" s="14" t="s">
        <v>318</v>
      </c>
      <c r="D28" s="14" t="s">
        <v>319</v>
      </c>
      <c r="E28" s="15">
        <v>60000.0</v>
      </c>
      <c r="F28" s="15">
        <v>130000.0</v>
      </c>
      <c r="G28" s="16">
        <f t="shared" si="1"/>
        <v>95000</v>
      </c>
      <c r="H28" s="13" t="s">
        <v>280</v>
      </c>
      <c r="I28" s="13" t="s">
        <v>281</v>
      </c>
      <c r="J28" s="14" t="s">
        <v>412</v>
      </c>
      <c r="K28" s="13" t="s">
        <v>283</v>
      </c>
      <c r="L28" s="13" t="s">
        <v>284</v>
      </c>
      <c r="M28" s="14" t="s">
        <v>413</v>
      </c>
    </row>
    <row r="29" ht="22.5" customHeight="1">
      <c r="A29" s="13" t="s">
        <v>414</v>
      </c>
      <c r="B29" s="14" t="s">
        <v>389</v>
      </c>
      <c r="C29" s="14" t="s">
        <v>415</v>
      </c>
      <c r="D29" s="14" t="s">
        <v>416</v>
      </c>
      <c r="E29" s="15">
        <v>60000.0</v>
      </c>
      <c r="F29" s="15">
        <v>80000.0</v>
      </c>
      <c r="G29" s="16">
        <f t="shared" si="1"/>
        <v>70000</v>
      </c>
      <c r="H29" s="13" t="s">
        <v>280</v>
      </c>
      <c r="I29" s="13" t="s">
        <v>281</v>
      </c>
      <c r="J29" s="14" t="s">
        <v>417</v>
      </c>
      <c r="K29" s="13" t="s">
        <v>283</v>
      </c>
      <c r="L29" s="13" t="s">
        <v>284</v>
      </c>
      <c r="M29" s="14" t="s">
        <v>418</v>
      </c>
    </row>
    <row r="30" ht="22.5" customHeight="1">
      <c r="A30" s="13" t="s">
        <v>419</v>
      </c>
      <c r="B30" s="14" t="s">
        <v>420</v>
      </c>
      <c r="C30" s="14" t="s">
        <v>421</v>
      </c>
      <c r="D30" s="14" t="s">
        <v>422</v>
      </c>
      <c r="E30" s="15">
        <v>110000.0</v>
      </c>
      <c r="F30" s="15">
        <v>140000.0</v>
      </c>
      <c r="G30" s="16">
        <f t="shared" si="1"/>
        <v>125000</v>
      </c>
      <c r="H30" s="13" t="s">
        <v>280</v>
      </c>
      <c r="I30" s="13" t="s">
        <v>281</v>
      </c>
      <c r="J30" s="14" t="s">
        <v>92</v>
      </c>
      <c r="K30" s="13" t="s">
        <v>283</v>
      </c>
      <c r="L30" s="13" t="s">
        <v>284</v>
      </c>
      <c r="M30" s="14" t="s">
        <v>423</v>
      </c>
    </row>
    <row r="31" ht="22.5" customHeight="1">
      <c r="A31" s="13" t="s">
        <v>424</v>
      </c>
      <c r="B31" s="14" t="s">
        <v>425</v>
      </c>
      <c r="C31" s="14" t="s">
        <v>426</v>
      </c>
      <c r="D31" s="14" t="s">
        <v>427</v>
      </c>
      <c r="E31" s="15">
        <v>52000.0</v>
      </c>
      <c r="F31" s="15">
        <v>58000.0</v>
      </c>
      <c r="G31" s="16">
        <f t="shared" si="1"/>
        <v>55000</v>
      </c>
      <c r="H31" s="13" t="s">
        <v>280</v>
      </c>
      <c r="I31" s="13" t="s">
        <v>281</v>
      </c>
      <c r="J31" s="14" t="s">
        <v>428</v>
      </c>
      <c r="K31" s="13" t="s">
        <v>283</v>
      </c>
      <c r="L31" s="13" t="s">
        <v>284</v>
      </c>
      <c r="M31" s="14" t="s">
        <v>429</v>
      </c>
    </row>
    <row r="32" ht="22.5" customHeight="1">
      <c r="A32" s="13" t="s">
        <v>430</v>
      </c>
      <c r="B32" s="14" t="s">
        <v>431</v>
      </c>
      <c r="C32" s="14" t="s">
        <v>401</v>
      </c>
      <c r="D32" s="14" t="s">
        <v>432</v>
      </c>
      <c r="E32" s="15">
        <v>54627.0</v>
      </c>
      <c r="F32" s="16"/>
      <c r="G32" s="16">
        <f t="shared" si="1"/>
        <v>54627</v>
      </c>
      <c r="H32" s="13" t="s">
        <v>280</v>
      </c>
      <c r="I32" s="13" t="s">
        <v>281</v>
      </c>
      <c r="J32" s="14" t="s">
        <v>403</v>
      </c>
      <c r="K32" s="13" t="s">
        <v>283</v>
      </c>
      <c r="L32" s="13" t="s">
        <v>284</v>
      </c>
      <c r="M32" s="14" t="s">
        <v>433</v>
      </c>
    </row>
    <row r="33" ht="22.5" customHeight="1">
      <c r="A33" s="13" t="s">
        <v>434</v>
      </c>
      <c r="B33" s="14" t="s">
        <v>435</v>
      </c>
      <c r="C33" s="14" t="s">
        <v>436</v>
      </c>
      <c r="D33" s="14" t="s">
        <v>437</v>
      </c>
      <c r="E33" s="15">
        <v>53000.0</v>
      </c>
      <c r="F33" s="15">
        <v>65000.0</v>
      </c>
      <c r="G33" s="16">
        <f t="shared" si="1"/>
        <v>59000</v>
      </c>
      <c r="H33" s="13" t="s">
        <v>280</v>
      </c>
      <c r="I33" s="13" t="s">
        <v>281</v>
      </c>
      <c r="J33" s="14" t="s">
        <v>438</v>
      </c>
      <c r="K33" s="13" t="s">
        <v>283</v>
      </c>
      <c r="L33" s="13" t="s">
        <v>284</v>
      </c>
      <c r="M33" s="14" t="s">
        <v>439</v>
      </c>
    </row>
    <row r="34" ht="22.5" customHeight="1">
      <c r="A34" s="13" t="s">
        <v>440</v>
      </c>
      <c r="B34" s="14" t="s">
        <v>441</v>
      </c>
      <c r="C34" s="14" t="s">
        <v>442</v>
      </c>
      <c r="D34" s="14" t="s">
        <v>443</v>
      </c>
      <c r="E34" s="16"/>
      <c r="F34" s="16"/>
      <c r="G34" s="16" t="str">
        <f t="shared" si="1"/>
        <v/>
      </c>
      <c r="H34" s="13" t="s">
        <v>280</v>
      </c>
      <c r="I34" s="13" t="s">
        <v>281</v>
      </c>
      <c r="J34" s="14" t="s">
        <v>444</v>
      </c>
      <c r="K34" s="13" t="s">
        <v>283</v>
      </c>
      <c r="L34" s="13" t="s">
        <v>284</v>
      </c>
      <c r="M34" s="14" t="s">
        <v>445</v>
      </c>
    </row>
    <row r="35" ht="22.5" customHeight="1">
      <c r="A35" s="13" t="s">
        <v>446</v>
      </c>
      <c r="B35" s="14" t="s">
        <v>447</v>
      </c>
      <c r="C35" s="14" t="s">
        <v>448</v>
      </c>
      <c r="D35" s="14" t="s">
        <v>301</v>
      </c>
      <c r="E35" s="15">
        <v>50000.0</v>
      </c>
      <c r="F35" s="15">
        <v>100000.0</v>
      </c>
      <c r="G35" s="16">
        <f t="shared" si="1"/>
        <v>75000</v>
      </c>
      <c r="H35" s="13" t="s">
        <v>280</v>
      </c>
      <c r="I35" s="13" t="s">
        <v>281</v>
      </c>
      <c r="J35" s="14" t="s">
        <v>449</v>
      </c>
      <c r="K35" s="13" t="s">
        <v>283</v>
      </c>
      <c r="L35" s="13" t="s">
        <v>284</v>
      </c>
      <c r="M35" s="14" t="s">
        <v>450</v>
      </c>
    </row>
    <row r="36" ht="22.5" customHeight="1">
      <c r="A36" s="13" t="s">
        <v>451</v>
      </c>
      <c r="B36" s="14" t="s">
        <v>452</v>
      </c>
      <c r="C36" s="14" t="s">
        <v>401</v>
      </c>
      <c r="D36" s="14" t="s">
        <v>432</v>
      </c>
      <c r="E36" s="15">
        <v>72801.0</v>
      </c>
      <c r="F36" s="16"/>
      <c r="G36" s="16">
        <f t="shared" si="1"/>
        <v>72801</v>
      </c>
      <c r="H36" s="13" t="s">
        <v>280</v>
      </c>
      <c r="I36" s="13" t="s">
        <v>281</v>
      </c>
      <c r="J36" s="14" t="s">
        <v>403</v>
      </c>
      <c r="K36" s="13" t="s">
        <v>283</v>
      </c>
      <c r="L36" s="13" t="s">
        <v>284</v>
      </c>
      <c r="M36" s="14" t="s">
        <v>453</v>
      </c>
    </row>
    <row r="37" ht="22.5" customHeight="1">
      <c r="A37" s="13" t="s">
        <v>454</v>
      </c>
      <c r="B37" s="14" t="s">
        <v>431</v>
      </c>
      <c r="C37" s="14" t="s">
        <v>401</v>
      </c>
      <c r="D37" s="14" t="s">
        <v>455</v>
      </c>
      <c r="E37" s="15">
        <v>54627.0</v>
      </c>
      <c r="F37" s="16"/>
      <c r="G37" s="16">
        <f t="shared" si="1"/>
        <v>54627</v>
      </c>
      <c r="H37" s="13" t="s">
        <v>280</v>
      </c>
      <c r="I37" s="13" t="s">
        <v>281</v>
      </c>
      <c r="J37" s="14" t="s">
        <v>403</v>
      </c>
      <c r="K37" s="13" t="s">
        <v>283</v>
      </c>
      <c r="L37" s="13" t="s">
        <v>284</v>
      </c>
      <c r="M37" s="14" t="s">
        <v>456</v>
      </c>
    </row>
    <row r="38" ht="22.5" customHeight="1">
      <c r="A38" s="13" t="s">
        <v>457</v>
      </c>
      <c r="B38" s="14" t="s">
        <v>458</v>
      </c>
      <c r="C38" s="14" t="s">
        <v>318</v>
      </c>
      <c r="D38" s="14" t="s">
        <v>459</v>
      </c>
      <c r="E38" s="15">
        <v>60000.0</v>
      </c>
      <c r="F38" s="15">
        <v>130000.0</v>
      </c>
      <c r="G38" s="16">
        <f t="shared" si="1"/>
        <v>95000</v>
      </c>
      <c r="H38" s="13" t="s">
        <v>280</v>
      </c>
      <c r="I38" s="13" t="s">
        <v>281</v>
      </c>
      <c r="J38" s="14" t="s">
        <v>460</v>
      </c>
      <c r="K38" s="13" t="s">
        <v>283</v>
      </c>
      <c r="L38" s="13" t="s">
        <v>284</v>
      </c>
      <c r="M38" s="14" t="s">
        <v>321</v>
      </c>
    </row>
    <row r="39" ht="22.5" customHeight="1">
      <c r="A39" s="13" t="s">
        <v>461</v>
      </c>
      <c r="B39" s="14" t="s">
        <v>323</v>
      </c>
      <c r="C39" s="14" t="s">
        <v>462</v>
      </c>
      <c r="D39" s="14" t="s">
        <v>463</v>
      </c>
      <c r="E39" s="15">
        <v>22.0</v>
      </c>
      <c r="F39" s="16"/>
      <c r="G39" s="16">
        <f t="shared" si="1"/>
        <v>22</v>
      </c>
      <c r="H39" s="13" t="s">
        <v>307</v>
      </c>
      <c r="I39" s="13" t="s">
        <v>281</v>
      </c>
      <c r="J39" s="14" t="s">
        <v>464</v>
      </c>
      <c r="K39" s="13" t="s">
        <v>283</v>
      </c>
      <c r="L39" s="13" t="s">
        <v>284</v>
      </c>
      <c r="M39" s="14" t="s">
        <v>465</v>
      </c>
    </row>
    <row r="40" ht="22.5" customHeight="1">
      <c r="A40" s="13" t="s">
        <v>466</v>
      </c>
      <c r="B40" s="14" t="s">
        <v>431</v>
      </c>
      <c r="C40" s="14" t="s">
        <v>467</v>
      </c>
      <c r="D40" s="14" t="s">
        <v>396</v>
      </c>
      <c r="E40" s="16"/>
      <c r="F40" s="16"/>
      <c r="G40" s="16" t="str">
        <f t="shared" si="1"/>
        <v/>
      </c>
      <c r="H40" s="13" t="s">
        <v>280</v>
      </c>
      <c r="I40" s="13" t="s">
        <v>281</v>
      </c>
      <c r="J40" s="14" t="s">
        <v>468</v>
      </c>
      <c r="K40" s="13" t="s">
        <v>283</v>
      </c>
      <c r="L40" s="13" t="s">
        <v>284</v>
      </c>
      <c r="M40" s="14" t="s">
        <v>358</v>
      </c>
    </row>
    <row r="41" ht="22.5" customHeight="1">
      <c r="A41" s="13" t="s">
        <v>469</v>
      </c>
      <c r="B41" s="14" t="s">
        <v>470</v>
      </c>
      <c r="C41" s="14" t="s">
        <v>471</v>
      </c>
      <c r="D41" s="14" t="s">
        <v>472</v>
      </c>
      <c r="E41" s="15">
        <v>58629.0</v>
      </c>
      <c r="F41" s="15">
        <v>68976.0</v>
      </c>
      <c r="G41" s="16">
        <f t="shared" si="1"/>
        <v>63802.5</v>
      </c>
      <c r="H41" s="13" t="s">
        <v>280</v>
      </c>
      <c r="I41" s="13" t="s">
        <v>281</v>
      </c>
      <c r="J41" s="14" t="s">
        <v>473</v>
      </c>
      <c r="K41" s="13" t="s">
        <v>283</v>
      </c>
      <c r="L41" s="13" t="s">
        <v>284</v>
      </c>
      <c r="M41" s="14" t="s">
        <v>376</v>
      </c>
    </row>
    <row r="42" ht="22.5" customHeight="1">
      <c r="A42" s="13" t="s">
        <v>474</v>
      </c>
      <c r="B42" s="14" t="s">
        <v>435</v>
      </c>
      <c r="C42" s="14" t="s">
        <v>436</v>
      </c>
      <c r="D42" s="14" t="s">
        <v>475</v>
      </c>
      <c r="E42" s="15">
        <v>53000.0</v>
      </c>
      <c r="F42" s="15">
        <v>65000.0</v>
      </c>
      <c r="G42" s="16">
        <f t="shared" si="1"/>
        <v>59000</v>
      </c>
      <c r="H42" s="13" t="s">
        <v>280</v>
      </c>
      <c r="I42" s="13" t="s">
        <v>281</v>
      </c>
      <c r="J42" s="14" t="s">
        <v>476</v>
      </c>
      <c r="K42" s="13" t="s">
        <v>283</v>
      </c>
      <c r="L42" s="13" t="s">
        <v>284</v>
      </c>
      <c r="M42" s="14" t="s">
        <v>439</v>
      </c>
    </row>
    <row r="43" ht="22.5" customHeight="1">
      <c r="A43" s="13" t="s">
        <v>477</v>
      </c>
      <c r="B43" s="14" t="s">
        <v>478</v>
      </c>
      <c r="C43" s="14" t="s">
        <v>479</v>
      </c>
      <c r="D43" s="14" t="s">
        <v>480</v>
      </c>
      <c r="E43" s="16"/>
      <c r="F43" s="16"/>
      <c r="G43" s="16" t="str">
        <f t="shared" si="1"/>
        <v/>
      </c>
      <c r="H43" s="13" t="s">
        <v>280</v>
      </c>
      <c r="I43" s="13" t="s">
        <v>281</v>
      </c>
      <c r="J43" s="14" t="s">
        <v>81</v>
      </c>
      <c r="K43" s="13" t="s">
        <v>283</v>
      </c>
      <c r="L43" s="13" t="s">
        <v>284</v>
      </c>
      <c r="M43" s="14" t="s">
        <v>481</v>
      </c>
    </row>
    <row r="44" ht="22.5" customHeight="1">
      <c r="A44" s="13" t="s">
        <v>482</v>
      </c>
      <c r="B44" s="14" t="s">
        <v>483</v>
      </c>
      <c r="C44" s="14" t="s">
        <v>484</v>
      </c>
      <c r="D44" s="14" t="s">
        <v>485</v>
      </c>
      <c r="E44" s="15">
        <v>24.5</v>
      </c>
      <c r="F44" s="15">
        <v>30.0</v>
      </c>
      <c r="G44" s="16">
        <f t="shared" si="1"/>
        <v>27.25</v>
      </c>
      <c r="H44" s="13" t="s">
        <v>307</v>
      </c>
      <c r="I44" s="13" t="s">
        <v>281</v>
      </c>
      <c r="J44" s="14" t="s">
        <v>486</v>
      </c>
      <c r="K44" s="13" t="s">
        <v>283</v>
      </c>
      <c r="L44" s="13" t="s">
        <v>284</v>
      </c>
      <c r="M44" s="14" t="s">
        <v>487</v>
      </c>
    </row>
    <row r="45" ht="22.5" customHeight="1">
      <c r="A45" s="13" t="s">
        <v>488</v>
      </c>
      <c r="B45" s="14" t="s">
        <v>489</v>
      </c>
      <c r="C45" s="14" t="s">
        <v>490</v>
      </c>
      <c r="D45" s="14" t="s">
        <v>491</v>
      </c>
      <c r="E45" s="16"/>
      <c r="F45" s="16"/>
      <c r="G45" s="16" t="str">
        <f t="shared" si="1"/>
        <v/>
      </c>
      <c r="H45" s="13" t="s">
        <v>280</v>
      </c>
      <c r="I45" s="13" t="s">
        <v>281</v>
      </c>
      <c r="J45" s="14" t="s">
        <v>464</v>
      </c>
      <c r="K45" s="13" t="s">
        <v>283</v>
      </c>
      <c r="L45" s="13" t="s">
        <v>284</v>
      </c>
      <c r="M45" s="14" t="s">
        <v>492</v>
      </c>
    </row>
    <row r="46" ht="22.5" customHeight="1">
      <c r="A46" s="13" t="s">
        <v>493</v>
      </c>
      <c r="B46" s="14" t="s">
        <v>494</v>
      </c>
      <c r="C46" s="14" t="s">
        <v>495</v>
      </c>
      <c r="D46" s="14" t="s">
        <v>496</v>
      </c>
      <c r="E46" s="16"/>
      <c r="F46" s="15">
        <v>70000.0</v>
      </c>
      <c r="G46" s="16">
        <f t="shared" si="1"/>
        <v>70000</v>
      </c>
      <c r="H46" s="13" t="s">
        <v>280</v>
      </c>
      <c r="I46" s="13" t="s">
        <v>281</v>
      </c>
      <c r="J46" s="14" t="s">
        <v>497</v>
      </c>
      <c r="K46" s="13" t="s">
        <v>283</v>
      </c>
      <c r="L46" s="13" t="s">
        <v>284</v>
      </c>
      <c r="M46" s="14" t="s">
        <v>498</v>
      </c>
    </row>
    <row r="47" ht="22.5" customHeight="1">
      <c r="A47" s="13" t="s">
        <v>499</v>
      </c>
      <c r="B47" s="14" t="s">
        <v>389</v>
      </c>
      <c r="C47" s="14" t="s">
        <v>500</v>
      </c>
      <c r="D47" s="14" t="s">
        <v>501</v>
      </c>
      <c r="E47" s="15">
        <v>70000.0</v>
      </c>
      <c r="F47" s="15">
        <v>80000.0</v>
      </c>
      <c r="G47" s="16">
        <f t="shared" si="1"/>
        <v>75000</v>
      </c>
      <c r="H47" s="13" t="s">
        <v>280</v>
      </c>
      <c r="I47" s="13" t="s">
        <v>281</v>
      </c>
      <c r="J47" s="14" t="s">
        <v>502</v>
      </c>
      <c r="K47" s="13" t="s">
        <v>283</v>
      </c>
      <c r="L47" s="13" t="s">
        <v>284</v>
      </c>
      <c r="M47" s="14" t="s">
        <v>423</v>
      </c>
    </row>
    <row r="48" ht="22.5" customHeight="1">
      <c r="A48" s="13" t="s">
        <v>503</v>
      </c>
      <c r="B48" s="14" t="s">
        <v>494</v>
      </c>
      <c r="C48" s="14" t="s">
        <v>495</v>
      </c>
      <c r="D48" s="14" t="s">
        <v>475</v>
      </c>
      <c r="E48" s="16"/>
      <c r="F48" s="15">
        <v>70000.0</v>
      </c>
      <c r="G48" s="16">
        <f t="shared" si="1"/>
        <v>70000</v>
      </c>
      <c r="H48" s="13" t="s">
        <v>280</v>
      </c>
      <c r="I48" s="13" t="s">
        <v>281</v>
      </c>
      <c r="J48" s="14" t="s">
        <v>497</v>
      </c>
      <c r="K48" s="13" t="s">
        <v>283</v>
      </c>
      <c r="L48" s="13" t="s">
        <v>284</v>
      </c>
      <c r="M48" s="14" t="s">
        <v>498</v>
      </c>
    </row>
    <row r="49" ht="22.5" customHeight="1">
      <c r="A49" s="13" t="s">
        <v>504</v>
      </c>
      <c r="B49" s="14" t="s">
        <v>287</v>
      </c>
      <c r="C49" s="14" t="s">
        <v>505</v>
      </c>
      <c r="D49" s="14" t="s">
        <v>506</v>
      </c>
      <c r="E49" s="16"/>
      <c r="F49" s="16"/>
      <c r="G49" s="16" t="str">
        <f t="shared" si="1"/>
        <v/>
      </c>
      <c r="H49" s="13" t="s">
        <v>280</v>
      </c>
      <c r="I49" s="13" t="s">
        <v>281</v>
      </c>
      <c r="J49" s="14" t="s">
        <v>507</v>
      </c>
      <c r="K49" s="13" t="s">
        <v>283</v>
      </c>
      <c r="L49" s="13" t="s">
        <v>284</v>
      </c>
      <c r="M49" s="14" t="s">
        <v>508</v>
      </c>
    </row>
    <row r="50" ht="22.5" customHeight="1">
      <c r="A50" s="13" t="s">
        <v>509</v>
      </c>
      <c r="B50" s="14" t="s">
        <v>366</v>
      </c>
      <c r="C50" s="14" t="s">
        <v>510</v>
      </c>
      <c r="D50" s="14" t="s">
        <v>511</v>
      </c>
      <c r="E50" s="15">
        <v>65000.0</v>
      </c>
      <c r="F50" s="15">
        <v>65000.0</v>
      </c>
      <c r="G50" s="16">
        <f t="shared" si="1"/>
        <v>65000</v>
      </c>
      <c r="H50" s="13" t="s">
        <v>280</v>
      </c>
      <c r="I50" s="13" t="s">
        <v>281</v>
      </c>
      <c r="J50" s="14" t="s">
        <v>464</v>
      </c>
      <c r="K50" s="13" t="s">
        <v>283</v>
      </c>
      <c r="L50" s="13" t="s">
        <v>284</v>
      </c>
      <c r="M50" s="14" t="s">
        <v>512</v>
      </c>
    </row>
    <row r="51" ht="22.5" customHeight="1">
      <c r="A51" s="13" t="s">
        <v>513</v>
      </c>
      <c r="B51" s="14" t="s">
        <v>514</v>
      </c>
      <c r="C51" s="14" t="s">
        <v>515</v>
      </c>
      <c r="D51" s="14" t="s">
        <v>516</v>
      </c>
      <c r="E51" s="16"/>
      <c r="F51" s="16"/>
      <c r="G51" s="16" t="str">
        <f t="shared" si="1"/>
        <v/>
      </c>
      <c r="H51" s="13" t="s">
        <v>280</v>
      </c>
      <c r="I51" s="13" t="s">
        <v>281</v>
      </c>
      <c r="J51" s="14" t="s">
        <v>517</v>
      </c>
      <c r="K51" s="13" t="s">
        <v>283</v>
      </c>
      <c r="L51" s="13" t="s">
        <v>284</v>
      </c>
      <c r="M51" s="14" t="s">
        <v>518</v>
      </c>
    </row>
    <row r="52" ht="22.5" customHeight="1">
      <c r="A52" s="13" t="s">
        <v>519</v>
      </c>
      <c r="B52" s="14" t="s">
        <v>520</v>
      </c>
      <c r="C52" s="14" t="s">
        <v>521</v>
      </c>
      <c r="D52" s="14" t="s">
        <v>522</v>
      </c>
      <c r="E52" s="16"/>
      <c r="F52" s="16"/>
      <c r="G52" s="16" t="str">
        <f t="shared" si="1"/>
        <v/>
      </c>
      <c r="H52" s="13" t="s">
        <v>280</v>
      </c>
      <c r="I52" s="13" t="s">
        <v>281</v>
      </c>
      <c r="J52" s="14" t="s">
        <v>523</v>
      </c>
      <c r="K52" s="13" t="s">
        <v>283</v>
      </c>
      <c r="L52" s="13" t="s">
        <v>284</v>
      </c>
      <c r="M52" s="14" t="s">
        <v>524</v>
      </c>
    </row>
    <row r="53" ht="22.5" customHeight="1">
      <c r="A53" s="13" t="s">
        <v>525</v>
      </c>
      <c r="B53" s="14" t="s">
        <v>406</v>
      </c>
      <c r="C53" s="14" t="s">
        <v>288</v>
      </c>
      <c r="D53" s="14" t="s">
        <v>289</v>
      </c>
      <c r="E53" s="15">
        <v>60000.0</v>
      </c>
      <c r="F53" s="15">
        <v>65000.0</v>
      </c>
      <c r="G53" s="16">
        <f t="shared" si="1"/>
        <v>62500</v>
      </c>
      <c r="H53" s="13" t="s">
        <v>280</v>
      </c>
      <c r="I53" s="13" t="s">
        <v>281</v>
      </c>
      <c r="J53" s="14" t="s">
        <v>526</v>
      </c>
      <c r="K53" s="13" t="s">
        <v>283</v>
      </c>
      <c r="L53" s="13" t="s">
        <v>284</v>
      </c>
      <c r="M53" s="14" t="s">
        <v>364</v>
      </c>
    </row>
    <row r="54" ht="22.5" customHeight="1">
      <c r="A54" s="13" t="s">
        <v>527</v>
      </c>
      <c r="B54" s="14" t="s">
        <v>528</v>
      </c>
      <c r="C54" s="14" t="s">
        <v>529</v>
      </c>
      <c r="D54" s="14" t="s">
        <v>530</v>
      </c>
      <c r="E54" s="15">
        <v>75000.0</v>
      </c>
      <c r="F54" s="15">
        <v>250000.0</v>
      </c>
      <c r="G54" s="16">
        <f t="shared" si="1"/>
        <v>162500</v>
      </c>
      <c r="H54" s="13" t="s">
        <v>280</v>
      </c>
      <c r="I54" s="13" t="s">
        <v>281</v>
      </c>
      <c r="J54" s="14" t="s">
        <v>531</v>
      </c>
      <c r="K54" s="13" t="s">
        <v>283</v>
      </c>
      <c r="L54" s="13" t="s">
        <v>284</v>
      </c>
      <c r="M54" s="14" t="s">
        <v>532</v>
      </c>
    </row>
    <row r="55" ht="22.5" customHeight="1">
      <c r="A55" s="13" t="s">
        <v>533</v>
      </c>
      <c r="B55" s="14" t="s">
        <v>534</v>
      </c>
      <c r="C55" s="14" t="s">
        <v>535</v>
      </c>
      <c r="D55" s="14" t="s">
        <v>536</v>
      </c>
      <c r="E55" s="16"/>
      <c r="F55" s="16"/>
      <c r="G55" s="16" t="str">
        <f t="shared" si="1"/>
        <v/>
      </c>
      <c r="H55" s="13" t="s">
        <v>280</v>
      </c>
      <c r="I55" s="13" t="s">
        <v>281</v>
      </c>
      <c r="J55" s="14" t="s">
        <v>537</v>
      </c>
      <c r="K55" s="13" t="s">
        <v>283</v>
      </c>
      <c r="L55" s="13" t="s">
        <v>284</v>
      </c>
      <c r="M55" s="14" t="s">
        <v>423</v>
      </c>
    </row>
    <row r="56" ht="22.5" customHeight="1">
      <c r="A56" s="13" t="s">
        <v>538</v>
      </c>
      <c r="B56" s="14" t="s">
        <v>539</v>
      </c>
      <c r="C56" s="14" t="s">
        <v>540</v>
      </c>
      <c r="D56" s="14" t="s">
        <v>541</v>
      </c>
      <c r="E56" s="15">
        <v>50000.0</v>
      </c>
      <c r="F56" s="15">
        <v>90000.0</v>
      </c>
      <c r="G56" s="16">
        <f t="shared" si="1"/>
        <v>70000</v>
      </c>
      <c r="H56" s="13" t="s">
        <v>280</v>
      </c>
      <c r="I56" s="13" t="s">
        <v>281</v>
      </c>
      <c r="J56" s="14" t="s">
        <v>497</v>
      </c>
      <c r="K56" s="13" t="s">
        <v>283</v>
      </c>
      <c r="L56" s="13" t="s">
        <v>284</v>
      </c>
      <c r="M56" s="14" t="s">
        <v>542</v>
      </c>
    </row>
    <row r="57" ht="22.5" customHeight="1">
      <c r="A57" s="13" t="s">
        <v>543</v>
      </c>
      <c r="B57" s="14" t="s">
        <v>544</v>
      </c>
      <c r="C57" s="14" t="s">
        <v>545</v>
      </c>
      <c r="D57" s="14" t="s">
        <v>546</v>
      </c>
      <c r="E57" s="16"/>
      <c r="F57" s="16"/>
      <c r="G57" s="16" t="str">
        <f t="shared" si="1"/>
        <v/>
      </c>
      <c r="H57" s="13" t="s">
        <v>280</v>
      </c>
      <c r="I57" s="13" t="s">
        <v>281</v>
      </c>
      <c r="J57" s="14" t="s">
        <v>547</v>
      </c>
      <c r="K57" s="13" t="s">
        <v>283</v>
      </c>
      <c r="L57" s="13" t="s">
        <v>284</v>
      </c>
      <c r="M57" s="14" t="s">
        <v>548</v>
      </c>
    </row>
    <row r="58" ht="22.5" customHeight="1">
      <c r="A58" s="13" t="s">
        <v>549</v>
      </c>
      <c r="B58" s="14" t="s">
        <v>550</v>
      </c>
      <c r="C58" s="14" t="s">
        <v>551</v>
      </c>
      <c r="D58" s="14" t="s">
        <v>396</v>
      </c>
      <c r="E58" s="15">
        <v>50000.0</v>
      </c>
      <c r="F58" s="15">
        <v>55000.0</v>
      </c>
      <c r="G58" s="16">
        <f t="shared" si="1"/>
        <v>52500</v>
      </c>
      <c r="H58" s="13" t="s">
        <v>280</v>
      </c>
      <c r="I58" s="13" t="s">
        <v>281</v>
      </c>
      <c r="J58" s="14" t="s">
        <v>552</v>
      </c>
      <c r="K58" s="13" t="s">
        <v>283</v>
      </c>
      <c r="L58" s="13" t="s">
        <v>284</v>
      </c>
      <c r="M58" s="14" t="s">
        <v>553</v>
      </c>
    </row>
    <row r="59" ht="22.5" customHeight="1">
      <c r="A59" s="13" t="s">
        <v>554</v>
      </c>
      <c r="B59" s="14" t="s">
        <v>555</v>
      </c>
      <c r="C59" s="14" t="s">
        <v>556</v>
      </c>
      <c r="D59" s="14" t="s">
        <v>346</v>
      </c>
      <c r="E59" s="16"/>
      <c r="F59" s="16"/>
      <c r="G59" s="16" t="str">
        <f t="shared" si="1"/>
        <v/>
      </c>
      <c r="H59" s="13" t="s">
        <v>280</v>
      </c>
      <c r="I59" s="13" t="s">
        <v>281</v>
      </c>
      <c r="J59" s="14" t="s">
        <v>557</v>
      </c>
      <c r="K59" s="13" t="s">
        <v>283</v>
      </c>
      <c r="L59" s="13" t="s">
        <v>284</v>
      </c>
      <c r="M59" s="14" t="s">
        <v>558</v>
      </c>
    </row>
    <row r="60" ht="22.5" customHeight="1">
      <c r="A60" s="13" t="s">
        <v>559</v>
      </c>
      <c r="B60" s="14" t="s">
        <v>329</v>
      </c>
      <c r="C60" s="14" t="s">
        <v>330</v>
      </c>
      <c r="D60" s="14" t="s">
        <v>560</v>
      </c>
      <c r="E60" s="15">
        <v>50000.0</v>
      </c>
      <c r="F60" s="15">
        <v>55000.0</v>
      </c>
      <c r="G60" s="16">
        <f t="shared" si="1"/>
        <v>52500</v>
      </c>
      <c r="H60" s="13" t="s">
        <v>280</v>
      </c>
      <c r="I60" s="13" t="s">
        <v>281</v>
      </c>
      <c r="J60" s="14" t="s">
        <v>332</v>
      </c>
      <c r="K60" s="13" t="s">
        <v>283</v>
      </c>
      <c r="L60" s="13" t="s">
        <v>284</v>
      </c>
      <c r="M60" s="14" t="s">
        <v>333</v>
      </c>
    </row>
    <row r="61" ht="22.5" customHeight="1">
      <c r="A61" s="13" t="s">
        <v>561</v>
      </c>
      <c r="B61" s="14" t="s">
        <v>562</v>
      </c>
      <c r="C61" s="14" t="s">
        <v>563</v>
      </c>
      <c r="D61" s="14" t="s">
        <v>564</v>
      </c>
      <c r="E61" s="16"/>
      <c r="F61" s="16"/>
      <c r="G61" s="16" t="str">
        <f t="shared" si="1"/>
        <v/>
      </c>
      <c r="H61" s="13" t="s">
        <v>280</v>
      </c>
      <c r="I61" s="13" t="s">
        <v>281</v>
      </c>
      <c r="J61" s="14" t="s">
        <v>565</v>
      </c>
      <c r="K61" s="13" t="s">
        <v>283</v>
      </c>
      <c r="L61" s="13" t="s">
        <v>284</v>
      </c>
      <c r="M61" s="14" t="s">
        <v>376</v>
      </c>
    </row>
    <row r="62" ht="22.5" customHeight="1">
      <c r="A62" s="13" t="s">
        <v>566</v>
      </c>
      <c r="B62" s="14" t="s">
        <v>567</v>
      </c>
      <c r="C62" s="14" t="s">
        <v>568</v>
      </c>
      <c r="D62" s="14" t="s">
        <v>569</v>
      </c>
      <c r="E62" s="15">
        <v>80000.0</v>
      </c>
      <c r="F62" s="15">
        <v>130000.0</v>
      </c>
      <c r="G62" s="16">
        <f t="shared" si="1"/>
        <v>105000</v>
      </c>
      <c r="H62" s="13" t="s">
        <v>280</v>
      </c>
      <c r="I62" s="13" t="s">
        <v>281</v>
      </c>
      <c r="J62" s="14" t="s">
        <v>570</v>
      </c>
      <c r="K62" s="13" t="s">
        <v>283</v>
      </c>
      <c r="L62" s="13" t="s">
        <v>284</v>
      </c>
      <c r="M62" s="14" t="s">
        <v>571</v>
      </c>
    </row>
    <row r="63" ht="22.5" customHeight="1">
      <c r="A63" s="13" t="s">
        <v>572</v>
      </c>
      <c r="B63" s="14" t="s">
        <v>555</v>
      </c>
      <c r="C63" s="14" t="s">
        <v>556</v>
      </c>
      <c r="D63" s="14" t="s">
        <v>573</v>
      </c>
      <c r="E63" s="16"/>
      <c r="F63" s="16"/>
      <c r="G63" s="16" t="str">
        <f t="shared" si="1"/>
        <v/>
      </c>
      <c r="H63" s="13" t="s">
        <v>280</v>
      </c>
      <c r="I63" s="13" t="s">
        <v>281</v>
      </c>
      <c r="J63" s="14" t="s">
        <v>557</v>
      </c>
      <c r="K63" s="13" t="s">
        <v>283</v>
      </c>
      <c r="L63" s="13" t="s">
        <v>284</v>
      </c>
      <c r="M63" s="14" t="s">
        <v>558</v>
      </c>
    </row>
    <row r="64" ht="22.5" customHeight="1">
      <c r="A64" s="13" t="s">
        <v>574</v>
      </c>
      <c r="B64" s="14" t="s">
        <v>544</v>
      </c>
      <c r="C64" s="14" t="s">
        <v>545</v>
      </c>
      <c r="D64" s="14" t="s">
        <v>575</v>
      </c>
      <c r="E64" s="16"/>
      <c r="F64" s="16"/>
      <c r="G64" s="16" t="str">
        <f t="shared" si="1"/>
        <v/>
      </c>
      <c r="H64" s="13" t="s">
        <v>280</v>
      </c>
      <c r="I64" s="13" t="s">
        <v>281</v>
      </c>
      <c r="J64" s="14" t="s">
        <v>547</v>
      </c>
      <c r="K64" s="13" t="s">
        <v>283</v>
      </c>
      <c r="L64" s="13" t="s">
        <v>284</v>
      </c>
      <c r="M64" s="14" t="s">
        <v>548</v>
      </c>
    </row>
    <row r="65" ht="22.5" customHeight="1">
      <c r="A65" s="13" t="s">
        <v>576</v>
      </c>
      <c r="B65" s="14" t="s">
        <v>389</v>
      </c>
      <c r="C65" s="14" t="s">
        <v>577</v>
      </c>
      <c r="D65" s="14" t="s">
        <v>578</v>
      </c>
      <c r="E65" s="15">
        <v>70000.0</v>
      </c>
      <c r="F65" s="15">
        <v>80000.0</v>
      </c>
      <c r="G65" s="16">
        <f t="shared" si="1"/>
        <v>75000</v>
      </c>
      <c r="H65" s="13" t="s">
        <v>280</v>
      </c>
      <c r="I65" s="13" t="s">
        <v>281</v>
      </c>
      <c r="J65" s="14" t="s">
        <v>502</v>
      </c>
      <c r="K65" s="13" t="s">
        <v>283</v>
      </c>
      <c r="L65" s="13" t="s">
        <v>284</v>
      </c>
      <c r="M65" s="14" t="s">
        <v>579</v>
      </c>
    </row>
    <row r="66" ht="22.5" customHeight="1">
      <c r="A66" s="13" t="s">
        <v>580</v>
      </c>
      <c r="B66" s="14" t="s">
        <v>581</v>
      </c>
      <c r="C66" s="14" t="s">
        <v>582</v>
      </c>
      <c r="D66" s="14" t="s">
        <v>583</v>
      </c>
      <c r="E66" s="16"/>
      <c r="F66" s="16"/>
      <c r="G66" s="16" t="str">
        <f t="shared" si="1"/>
        <v/>
      </c>
      <c r="H66" s="13" t="s">
        <v>280</v>
      </c>
      <c r="I66" s="13" t="s">
        <v>281</v>
      </c>
      <c r="J66" s="14" t="s">
        <v>464</v>
      </c>
      <c r="K66" s="13" t="s">
        <v>283</v>
      </c>
      <c r="L66" s="13" t="s">
        <v>284</v>
      </c>
      <c r="M66" s="14" t="s">
        <v>584</v>
      </c>
    </row>
    <row r="67" ht="22.5" customHeight="1">
      <c r="A67" s="13" t="s">
        <v>585</v>
      </c>
      <c r="B67" s="14" t="s">
        <v>586</v>
      </c>
      <c r="C67" s="14" t="s">
        <v>587</v>
      </c>
      <c r="D67" s="14" t="s">
        <v>588</v>
      </c>
      <c r="E67" s="15">
        <v>75000.0</v>
      </c>
      <c r="F67" s="15">
        <v>80000.0</v>
      </c>
      <c r="G67" s="16">
        <f t="shared" si="1"/>
        <v>77500</v>
      </c>
      <c r="H67" s="13" t="s">
        <v>280</v>
      </c>
      <c r="I67" s="13" t="s">
        <v>281</v>
      </c>
      <c r="J67" s="14" t="s">
        <v>589</v>
      </c>
      <c r="K67" s="13" t="s">
        <v>283</v>
      </c>
      <c r="L67" s="13" t="s">
        <v>284</v>
      </c>
      <c r="M67" s="14" t="s">
        <v>590</v>
      </c>
    </row>
    <row r="68" ht="22.5" customHeight="1">
      <c r="A68" s="13" t="s">
        <v>591</v>
      </c>
      <c r="B68" s="14" t="s">
        <v>567</v>
      </c>
      <c r="C68" s="14" t="s">
        <v>592</v>
      </c>
      <c r="D68" s="14" t="s">
        <v>593</v>
      </c>
      <c r="E68" s="15">
        <v>72000.0</v>
      </c>
      <c r="F68" s="15">
        <v>130000.0</v>
      </c>
      <c r="G68" s="16">
        <f t="shared" si="1"/>
        <v>101000</v>
      </c>
      <c r="H68" s="13" t="s">
        <v>280</v>
      </c>
      <c r="I68" s="13" t="s">
        <v>281</v>
      </c>
      <c r="J68" s="14" t="s">
        <v>594</v>
      </c>
      <c r="K68" s="13" t="s">
        <v>283</v>
      </c>
      <c r="L68" s="13" t="s">
        <v>284</v>
      </c>
      <c r="M68" s="14" t="s">
        <v>595</v>
      </c>
    </row>
    <row r="69" ht="22.5" customHeight="1">
      <c r="A69" s="13" t="s">
        <v>596</v>
      </c>
      <c r="B69" s="14" t="s">
        <v>597</v>
      </c>
      <c r="C69" s="14" t="s">
        <v>598</v>
      </c>
      <c r="D69" s="14" t="s">
        <v>443</v>
      </c>
      <c r="E69" s="16"/>
      <c r="F69" s="16"/>
      <c r="G69" s="16" t="str">
        <f t="shared" si="1"/>
        <v/>
      </c>
      <c r="H69" s="13" t="s">
        <v>280</v>
      </c>
      <c r="I69" s="13" t="s">
        <v>281</v>
      </c>
      <c r="J69" s="14" t="s">
        <v>464</v>
      </c>
      <c r="K69" s="13" t="s">
        <v>283</v>
      </c>
      <c r="L69" s="13" t="s">
        <v>284</v>
      </c>
      <c r="M69" s="14" t="s">
        <v>358</v>
      </c>
    </row>
    <row r="70" ht="22.5" customHeight="1">
      <c r="A70" s="13" t="s">
        <v>599</v>
      </c>
      <c r="B70" s="14" t="s">
        <v>600</v>
      </c>
      <c r="C70" s="14" t="s">
        <v>601</v>
      </c>
      <c r="D70" s="14" t="s">
        <v>602</v>
      </c>
      <c r="E70" s="15">
        <v>58000.0</v>
      </c>
      <c r="F70" s="16"/>
      <c r="G70" s="16">
        <f t="shared" si="1"/>
        <v>58000</v>
      </c>
      <c r="H70" s="13" t="s">
        <v>280</v>
      </c>
      <c r="I70" s="13" t="s">
        <v>281</v>
      </c>
      <c r="J70" s="14" t="s">
        <v>537</v>
      </c>
      <c r="K70" s="13" t="s">
        <v>283</v>
      </c>
      <c r="L70" s="13" t="s">
        <v>284</v>
      </c>
      <c r="M70" s="14" t="s">
        <v>603</v>
      </c>
    </row>
    <row r="71" ht="22.5" customHeight="1">
      <c r="A71" s="13" t="s">
        <v>604</v>
      </c>
      <c r="B71" s="14" t="s">
        <v>435</v>
      </c>
      <c r="C71" s="14" t="s">
        <v>605</v>
      </c>
      <c r="D71" s="14" t="s">
        <v>319</v>
      </c>
      <c r="E71" s="16"/>
      <c r="F71" s="16"/>
      <c r="G71" s="16" t="str">
        <f t="shared" si="1"/>
        <v/>
      </c>
      <c r="H71" s="13" t="s">
        <v>280</v>
      </c>
      <c r="I71" s="13" t="s">
        <v>281</v>
      </c>
      <c r="J71" s="14" t="s">
        <v>606</v>
      </c>
      <c r="K71" s="13" t="s">
        <v>283</v>
      </c>
      <c r="L71" s="13" t="s">
        <v>284</v>
      </c>
      <c r="M71" s="14" t="s">
        <v>607</v>
      </c>
    </row>
    <row r="72" ht="22.5" customHeight="1">
      <c r="A72" s="13" t="s">
        <v>608</v>
      </c>
      <c r="B72" s="14" t="s">
        <v>567</v>
      </c>
      <c r="C72" s="14" t="s">
        <v>592</v>
      </c>
      <c r="D72" s="14" t="s">
        <v>609</v>
      </c>
      <c r="E72" s="15">
        <v>72000.0</v>
      </c>
      <c r="F72" s="15">
        <v>130000.0</v>
      </c>
      <c r="G72" s="16">
        <f t="shared" si="1"/>
        <v>101000</v>
      </c>
      <c r="H72" s="13" t="s">
        <v>280</v>
      </c>
      <c r="I72" s="13" t="s">
        <v>281</v>
      </c>
      <c r="J72" s="14" t="s">
        <v>594</v>
      </c>
      <c r="K72" s="13" t="s">
        <v>283</v>
      </c>
      <c r="L72" s="13" t="s">
        <v>284</v>
      </c>
      <c r="M72" s="14" t="s">
        <v>595</v>
      </c>
    </row>
    <row r="73" ht="22.5" customHeight="1">
      <c r="A73" s="13" t="s">
        <v>610</v>
      </c>
      <c r="B73" s="14" t="s">
        <v>611</v>
      </c>
      <c r="C73" s="14" t="s">
        <v>241</v>
      </c>
      <c r="D73" s="14" t="s">
        <v>612</v>
      </c>
      <c r="E73" s="15">
        <v>62400.0</v>
      </c>
      <c r="F73" s="15">
        <v>83200.0</v>
      </c>
      <c r="G73" s="16">
        <f t="shared" si="1"/>
        <v>72800</v>
      </c>
      <c r="H73" s="13" t="s">
        <v>613</v>
      </c>
      <c r="I73" s="13" t="s">
        <v>281</v>
      </c>
      <c r="J73" s="14" t="s">
        <v>614</v>
      </c>
      <c r="K73" s="13" t="s">
        <v>283</v>
      </c>
      <c r="L73" s="13" t="s">
        <v>284</v>
      </c>
      <c r="M73" s="14" t="s">
        <v>615</v>
      </c>
    </row>
    <row r="74" ht="22.5" customHeight="1">
      <c r="A74" s="13" t="s">
        <v>616</v>
      </c>
      <c r="B74" s="14" t="s">
        <v>617</v>
      </c>
      <c r="C74" s="14" t="s">
        <v>618</v>
      </c>
      <c r="D74" s="14" t="s">
        <v>536</v>
      </c>
      <c r="E74" s="16"/>
      <c r="F74" s="16"/>
      <c r="G74" s="16" t="str">
        <f t="shared" si="1"/>
        <v/>
      </c>
      <c r="H74" s="13" t="s">
        <v>280</v>
      </c>
      <c r="I74" s="13" t="s">
        <v>281</v>
      </c>
      <c r="J74" s="14" t="s">
        <v>619</v>
      </c>
      <c r="K74" s="13" t="s">
        <v>283</v>
      </c>
      <c r="L74" s="13" t="s">
        <v>284</v>
      </c>
      <c r="M74" s="14" t="s">
        <v>620</v>
      </c>
    </row>
    <row r="75" ht="22.5" customHeight="1">
      <c r="A75" s="13" t="s">
        <v>621</v>
      </c>
      <c r="B75" s="14" t="s">
        <v>622</v>
      </c>
      <c r="C75" s="14" t="s">
        <v>623</v>
      </c>
      <c r="D75" s="14" t="s">
        <v>578</v>
      </c>
      <c r="E75" s="15">
        <v>80000.0</v>
      </c>
      <c r="F75" s="15">
        <v>100000.0</v>
      </c>
      <c r="G75" s="16">
        <f t="shared" si="1"/>
        <v>90000</v>
      </c>
      <c r="H75" s="13" t="s">
        <v>280</v>
      </c>
      <c r="I75" s="13" t="s">
        <v>281</v>
      </c>
      <c r="J75" s="14" t="s">
        <v>624</v>
      </c>
      <c r="K75" s="13" t="s">
        <v>283</v>
      </c>
      <c r="L75" s="13" t="s">
        <v>284</v>
      </c>
      <c r="M75" s="14" t="s">
        <v>625</v>
      </c>
    </row>
    <row r="76" ht="22.5" customHeight="1">
      <c r="A76" s="13" t="s">
        <v>626</v>
      </c>
      <c r="B76" s="14" t="s">
        <v>627</v>
      </c>
      <c r="C76" s="14" t="s">
        <v>628</v>
      </c>
      <c r="D76" s="14" t="s">
        <v>629</v>
      </c>
      <c r="E76" s="15">
        <v>55000.0</v>
      </c>
      <c r="F76" s="15">
        <v>66000.0</v>
      </c>
      <c r="G76" s="16">
        <f t="shared" si="1"/>
        <v>60500</v>
      </c>
      <c r="H76" s="13" t="s">
        <v>280</v>
      </c>
      <c r="I76" s="13" t="s">
        <v>281</v>
      </c>
      <c r="J76" s="14" t="s">
        <v>630</v>
      </c>
      <c r="K76" s="13" t="s">
        <v>283</v>
      </c>
      <c r="L76" s="13" t="s">
        <v>284</v>
      </c>
      <c r="M76" s="14" t="s">
        <v>631</v>
      </c>
    </row>
    <row r="77" ht="22.5" customHeight="1">
      <c r="A77" s="13" t="s">
        <v>632</v>
      </c>
      <c r="B77" s="14" t="s">
        <v>435</v>
      </c>
      <c r="C77" s="14" t="s">
        <v>633</v>
      </c>
      <c r="D77" s="14" t="s">
        <v>396</v>
      </c>
      <c r="E77" s="15">
        <v>50000.0</v>
      </c>
      <c r="F77" s="15">
        <v>60000.0</v>
      </c>
      <c r="G77" s="16">
        <f t="shared" si="1"/>
        <v>55000</v>
      </c>
      <c r="H77" s="13" t="s">
        <v>280</v>
      </c>
      <c r="I77" s="13" t="s">
        <v>281</v>
      </c>
      <c r="J77" s="14" t="s">
        <v>634</v>
      </c>
      <c r="K77" s="13" t="s">
        <v>283</v>
      </c>
      <c r="L77" s="13" t="s">
        <v>284</v>
      </c>
      <c r="M77" s="14" t="s">
        <v>635</v>
      </c>
    </row>
    <row r="78" ht="22.5" customHeight="1">
      <c r="A78" s="13" t="s">
        <v>636</v>
      </c>
      <c r="B78" s="14" t="s">
        <v>637</v>
      </c>
      <c r="C78" s="14" t="s">
        <v>638</v>
      </c>
      <c r="D78" s="14" t="s">
        <v>639</v>
      </c>
      <c r="E78" s="16"/>
      <c r="F78" s="16"/>
      <c r="G78" s="16" t="str">
        <f t="shared" si="1"/>
        <v/>
      </c>
      <c r="H78" s="13" t="s">
        <v>280</v>
      </c>
      <c r="I78" s="13" t="s">
        <v>281</v>
      </c>
      <c r="J78" s="14" t="s">
        <v>464</v>
      </c>
      <c r="K78" s="13" t="s">
        <v>283</v>
      </c>
      <c r="L78" s="13" t="s">
        <v>284</v>
      </c>
      <c r="M78" s="14" t="s">
        <v>640</v>
      </c>
    </row>
    <row r="79" ht="22.5" customHeight="1">
      <c r="A79" s="13" t="s">
        <v>641</v>
      </c>
      <c r="B79" s="14" t="s">
        <v>329</v>
      </c>
      <c r="C79" s="14" t="s">
        <v>330</v>
      </c>
      <c r="D79" s="14" t="s">
        <v>642</v>
      </c>
      <c r="E79" s="15">
        <v>50000.0</v>
      </c>
      <c r="F79" s="15">
        <v>55000.0</v>
      </c>
      <c r="G79" s="16">
        <f t="shared" si="1"/>
        <v>52500</v>
      </c>
      <c r="H79" s="13" t="s">
        <v>280</v>
      </c>
      <c r="I79" s="13" t="s">
        <v>281</v>
      </c>
      <c r="J79" s="14" t="s">
        <v>332</v>
      </c>
      <c r="K79" s="13" t="s">
        <v>283</v>
      </c>
      <c r="L79" s="13" t="s">
        <v>284</v>
      </c>
      <c r="M79" s="14" t="s">
        <v>333</v>
      </c>
    </row>
    <row r="80" ht="22.5" customHeight="1">
      <c r="A80" s="13" t="s">
        <v>643</v>
      </c>
      <c r="B80" s="14" t="s">
        <v>567</v>
      </c>
      <c r="C80" s="14" t="s">
        <v>592</v>
      </c>
      <c r="D80" s="14" t="s">
        <v>644</v>
      </c>
      <c r="E80" s="15">
        <v>72000.0</v>
      </c>
      <c r="F80" s="15">
        <v>130000.0</v>
      </c>
      <c r="G80" s="16">
        <f t="shared" si="1"/>
        <v>101000</v>
      </c>
      <c r="H80" s="13" t="s">
        <v>280</v>
      </c>
      <c r="I80" s="13" t="s">
        <v>281</v>
      </c>
      <c r="J80" s="14" t="s">
        <v>594</v>
      </c>
      <c r="K80" s="13" t="s">
        <v>283</v>
      </c>
      <c r="L80" s="13" t="s">
        <v>284</v>
      </c>
      <c r="M80" s="14" t="s">
        <v>595</v>
      </c>
    </row>
    <row r="81" ht="22.5" customHeight="1">
      <c r="A81" s="13" t="s">
        <v>645</v>
      </c>
      <c r="B81" s="14" t="s">
        <v>567</v>
      </c>
      <c r="C81" s="14" t="s">
        <v>592</v>
      </c>
      <c r="D81" s="14" t="s">
        <v>491</v>
      </c>
      <c r="E81" s="15">
        <v>72000.0</v>
      </c>
      <c r="F81" s="15">
        <v>130000.0</v>
      </c>
      <c r="G81" s="16">
        <f t="shared" si="1"/>
        <v>101000</v>
      </c>
      <c r="H81" s="13" t="s">
        <v>280</v>
      </c>
      <c r="I81" s="13" t="s">
        <v>281</v>
      </c>
      <c r="J81" s="14" t="s">
        <v>594</v>
      </c>
      <c r="K81" s="13" t="s">
        <v>283</v>
      </c>
      <c r="L81" s="13" t="s">
        <v>284</v>
      </c>
      <c r="M81" s="14" t="s">
        <v>595</v>
      </c>
    </row>
    <row r="82" ht="22.5" customHeight="1">
      <c r="A82" s="13" t="s">
        <v>646</v>
      </c>
      <c r="B82" s="14" t="s">
        <v>389</v>
      </c>
      <c r="C82" s="14" t="s">
        <v>647</v>
      </c>
      <c r="D82" s="14" t="s">
        <v>648</v>
      </c>
      <c r="E82" s="15">
        <v>70000.0</v>
      </c>
      <c r="F82" s="15">
        <v>80000.0</v>
      </c>
      <c r="G82" s="16">
        <f t="shared" si="1"/>
        <v>75000</v>
      </c>
      <c r="H82" s="13" t="s">
        <v>280</v>
      </c>
      <c r="I82" s="13" t="s">
        <v>281</v>
      </c>
      <c r="J82" s="14" t="s">
        <v>417</v>
      </c>
      <c r="K82" s="13" t="s">
        <v>283</v>
      </c>
      <c r="L82" s="13" t="s">
        <v>284</v>
      </c>
      <c r="M82" s="14" t="s">
        <v>649</v>
      </c>
    </row>
    <row r="83" ht="22.5" customHeight="1">
      <c r="A83" s="13" t="s">
        <v>650</v>
      </c>
      <c r="B83" s="14" t="s">
        <v>651</v>
      </c>
      <c r="C83" s="14" t="s">
        <v>652</v>
      </c>
      <c r="D83" s="14" t="s">
        <v>653</v>
      </c>
      <c r="E83" s="15">
        <v>55000.0</v>
      </c>
      <c r="F83" s="15">
        <v>58000.0</v>
      </c>
      <c r="G83" s="16">
        <f t="shared" si="1"/>
        <v>56500</v>
      </c>
      <c r="H83" s="13" t="s">
        <v>280</v>
      </c>
      <c r="I83" s="13" t="s">
        <v>281</v>
      </c>
      <c r="J83" s="14" t="s">
        <v>654</v>
      </c>
      <c r="K83" s="13" t="s">
        <v>283</v>
      </c>
      <c r="L83" s="13" t="s">
        <v>284</v>
      </c>
      <c r="M83" s="14" t="s">
        <v>655</v>
      </c>
    </row>
    <row r="84" ht="22.5" customHeight="1">
      <c r="A84" s="13" t="s">
        <v>656</v>
      </c>
      <c r="B84" s="14" t="s">
        <v>657</v>
      </c>
      <c r="C84" s="14" t="s">
        <v>658</v>
      </c>
      <c r="D84" s="14" t="s">
        <v>659</v>
      </c>
      <c r="E84" s="15">
        <v>90000.0</v>
      </c>
      <c r="F84" s="15">
        <v>95000.0</v>
      </c>
      <c r="G84" s="16">
        <f t="shared" si="1"/>
        <v>92500</v>
      </c>
      <c r="H84" s="13" t="s">
        <v>280</v>
      </c>
      <c r="I84" s="13" t="s">
        <v>281</v>
      </c>
      <c r="J84" s="14" t="s">
        <v>565</v>
      </c>
      <c r="K84" s="13" t="s">
        <v>283</v>
      </c>
      <c r="L84" s="13" t="s">
        <v>284</v>
      </c>
      <c r="M84" s="14" t="s">
        <v>620</v>
      </c>
    </row>
    <row r="85" ht="22.5" customHeight="1">
      <c r="A85" s="13" t="s">
        <v>660</v>
      </c>
      <c r="B85" s="14" t="s">
        <v>389</v>
      </c>
      <c r="C85" s="14" t="s">
        <v>661</v>
      </c>
      <c r="D85" s="14" t="s">
        <v>662</v>
      </c>
      <c r="E85" s="15">
        <v>65000.0</v>
      </c>
      <c r="F85" s="15">
        <v>75000.0</v>
      </c>
      <c r="G85" s="16">
        <f t="shared" si="1"/>
        <v>70000</v>
      </c>
      <c r="H85" s="13" t="s">
        <v>280</v>
      </c>
      <c r="I85" s="13" t="s">
        <v>281</v>
      </c>
      <c r="J85" s="14" t="s">
        <v>663</v>
      </c>
      <c r="K85" s="13" t="s">
        <v>283</v>
      </c>
      <c r="L85" s="13" t="s">
        <v>284</v>
      </c>
      <c r="M85" s="14" t="s">
        <v>579</v>
      </c>
    </row>
    <row r="86" ht="22.5" customHeight="1">
      <c r="A86" s="13" t="s">
        <v>664</v>
      </c>
      <c r="B86" s="14" t="s">
        <v>665</v>
      </c>
      <c r="C86" s="14" t="s">
        <v>442</v>
      </c>
      <c r="D86" s="14" t="s">
        <v>443</v>
      </c>
      <c r="E86" s="16"/>
      <c r="F86" s="16"/>
      <c r="G86" s="16" t="str">
        <f t="shared" si="1"/>
        <v/>
      </c>
      <c r="H86" s="13" t="s">
        <v>280</v>
      </c>
      <c r="I86" s="13" t="s">
        <v>281</v>
      </c>
      <c r="J86" s="14" t="s">
        <v>666</v>
      </c>
      <c r="K86" s="13" t="s">
        <v>283</v>
      </c>
      <c r="L86" s="13" t="s">
        <v>284</v>
      </c>
      <c r="M86" s="14" t="s">
        <v>667</v>
      </c>
    </row>
    <row r="87" ht="22.5" customHeight="1">
      <c r="A87" s="13" t="s">
        <v>668</v>
      </c>
      <c r="B87" s="14" t="s">
        <v>669</v>
      </c>
      <c r="C87" s="14" t="s">
        <v>670</v>
      </c>
      <c r="D87" s="14" t="s">
        <v>485</v>
      </c>
      <c r="E87" s="16"/>
      <c r="F87" s="16"/>
      <c r="G87" s="16" t="str">
        <f t="shared" si="1"/>
        <v/>
      </c>
      <c r="H87" s="13" t="s">
        <v>280</v>
      </c>
      <c r="I87" s="13" t="s">
        <v>281</v>
      </c>
      <c r="J87" s="14" t="s">
        <v>619</v>
      </c>
      <c r="K87" s="13" t="s">
        <v>283</v>
      </c>
      <c r="L87" s="13" t="s">
        <v>284</v>
      </c>
      <c r="M87" s="14" t="s">
        <v>671</v>
      </c>
    </row>
    <row r="88" ht="22.5" customHeight="1">
      <c r="A88" s="13" t="s">
        <v>672</v>
      </c>
      <c r="B88" s="14" t="s">
        <v>673</v>
      </c>
      <c r="C88" s="14" t="s">
        <v>674</v>
      </c>
      <c r="D88" s="14" t="s">
        <v>675</v>
      </c>
      <c r="E88" s="16"/>
      <c r="F88" s="16"/>
      <c r="G88" s="16" t="str">
        <f t="shared" si="1"/>
        <v/>
      </c>
      <c r="H88" s="13" t="s">
        <v>280</v>
      </c>
      <c r="I88" s="13" t="s">
        <v>281</v>
      </c>
      <c r="J88" s="14" t="s">
        <v>676</v>
      </c>
      <c r="K88" s="13" t="s">
        <v>283</v>
      </c>
      <c r="L88" s="13" t="s">
        <v>284</v>
      </c>
      <c r="M88" s="14" t="s">
        <v>677</v>
      </c>
    </row>
    <row r="89" ht="22.5" customHeight="1">
      <c r="A89" s="13" t="s">
        <v>678</v>
      </c>
      <c r="B89" s="14" t="s">
        <v>567</v>
      </c>
      <c r="C89" s="14" t="s">
        <v>568</v>
      </c>
      <c r="D89" s="14" t="s">
        <v>679</v>
      </c>
      <c r="E89" s="15">
        <v>80000.0</v>
      </c>
      <c r="F89" s="15">
        <v>130000.0</v>
      </c>
      <c r="G89" s="16">
        <f t="shared" si="1"/>
        <v>105000</v>
      </c>
      <c r="H89" s="13" t="s">
        <v>280</v>
      </c>
      <c r="I89" s="13" t="s">
        <v>281</v>
      </c>
      <c r="J89" s="14" t="s">
        <v>570</v>
      </c>
      <c r="K89" s="13" t="s">
        <v>283</v>
      </c>
      <c r="L89" s="13" t="s">
        <v>284</v>
      </c>
      <c r="M89" s="14" t="s">
        <v>571</v>
      </c>
    </row>
    <row r="90" ht="22.5" customHeight="1">
      <c r="A90" s="13" t="s">
        <v>680</v>
      </c>
      <c r="B90" s="14" t="s">
        <v>420</v>
      </c>
      <c r="C90" s="14" t="s">
        <v>681</v>
      </c>
      <c r="D90" s="14" t="s">
        <v>682</v>
      </c>
      <c r="E90" s="15">
        <v>110000.0</v>
      </c>
      <c r="F90" s="15">
        <v>140000.0</v>
      </c>
      <c r="G90" s="16">
        <f t="shared" si="1"/>
        <v>125000</v>
      </c>
      <c r="H90" s="13" t="s">
        <v>280</v>
      </c>
      <c r="I90" s="13" t="s">
        <v>281</v>
      </c>
      <c r="J90" s="14" t="s">
        <v>92</v>
      </c>
      <c r="K90" s="13" t="s">
        <v>283</v>
      </c>
      <c r="L90" s="13" t="s">
        <v>284</v>
      </c>
      <c r="M90" s="14" t="s">
        <v>423</v>
      </c>
    </row>
    <row r="91" ht="22.5" customHeight="1">
      <c r="A91" s="13" t="s">
        <v>683</v>
      </c>
      <c r="B91" s="14" t="s">
        <v>684</v>
      </c>
      <c r="C91" s="14" t="s">
        <v>685</v>
      </c>
      <c r="D91" s="14" t="s">
        <v>313</v>
      </c>
      <c r="E91" s="15">
        <v>55000.0</v>
      </c>
      <c r="F91" s="15">
        <v>65000.0</v>
      </c>
      <c r="G91" s="16">
        <f t="shared" si="1"/>
        <v>60000</v>
      </c>
      <c r="H91" s="13" t="s">
        <v>280</v>
      </c>
      <c r="I91" s="13" t="s">
        <v>281</v>
      </c>
      <c r="J91" s="14" t="s">
        <v>686</v>
      </c>
      <c r="K91" s="13" t="s">
        <v>283</v>
      </c>
      <c r="L91" s="13" t="s">
        <v>284</v>
      </c>
      <c r="M91" s="14" t="s">
        <v>687</v>
      </c>
    </row>
    <row r="92" ht="22.5" customHeight="1">
      <c r="A92" s="13" t="s">
        <v>688</v>
      </c>
      <c r="B92" s="14" t="s">
        <v>689</v>
      </c>
      <c r="C92" s="14" t="s">
        <v>690</v>
      </c>
      <c r="D92" s="14" t="s">
        <v>342</v>
      </c>
      <c r="E92" s="15">
        <v>60000.0</v>
      </c>
      <c r="F92" s="16"/>
      <c r="G92" s="16">
        <f t="shared" si="1"/>
        <v>60000</v>
      </c>
      <c r="H92" s="13" t="s">
        <v>280</v>
      </c>
      <c r="I92" s="13" t="s">
        <v>281</v>
      </c>
      <c r="J92" s="14" t="s">
        <v>691</v>
      </c>
      <c r="K92" s="13" t="s">
        <v>283</v>
      </c>
      <c r="L92" s="13" t="s">
        <v>284</v>
      </c>
      <c r="M92" s="14" t="s">
        <v>692</v>
      </c>
    </row>
    <row r="93" ht="22.5" customHeight="1">
      <c r="A93" s="13" t="s">
        <v>693</v>
      </c>
      <c r="B93" s="14" t="s">
        <v>348</v>
      </c>
      <c r="C93" s="14" t="s">
        <v>349</v>
      </c>
      <c r="D93" s="14" t="s">
        <v>694</v>
      </c>
      <c r="E93" s="15">
        <v>48000.0</v>
      </c>
      <c r="F93" s="15">
        <v>60000.0</v>
      </c>
      <c r="G93" s="16">
        <f t="shared" si="1"/>
        <v>54000</v>
      </c>
      <c r="H93" s="13" t="s">
        <v>280</v>
      </c>
      <c r="I93" s="13" t="s">
        <v>281</v>
      </c>
      <c r="J93" s="14" t="s">
        <v>351</v>
      </c>
      <c r="K93" s="13" t="s">
        <v>283</v>
      </c>
      <c r="L93" s="13" t="s">
        <v>284</v>
      </c>
      <c r="M93" s="14" t="s">
        <v>695</v>
      </c>
    </row>
    <row r="94" ht="22.5" customHeight="1">
      <c r="A94" s="13" t="s">
        <v>696</v>
      </c>
      <c r="B94" s="14" t="s">
        <v>697</v>
      </c>
      <c r="C94" s="14" t="s">
        <v>698</v>
      </c>
      <c r="D94" s="14" t="s">
        <v>536</v>
      </c>
      <c r="E94" s="15">
        <v>90000.0</v>
      </c>
      <c r="F94" s="15">
        <v>145000.0</v>
      </c>
      <c r="G94" s="16">
        <f t="shared" si="1"/>
        <v>117500</v>
      </c>
      <c r="H94" s="13" t="s">
        <v>280</v>
      </c>
      <c r="I94" s="13" t="s">
        <v>281</v>
      </c>
      <c r="J94" s="14" t="s">
        <v>699</v>
      </c>
      <c r="K94" s="13" t="s">
        <v>283</v>
      </c>
      <c r="L94" s="13" t="s">
        <v>284</v>
      </c>
      <c r="M94" s="14" t="s">
        <v>700</v>
      </c>
    </row>
    <row r="95" ht="22.5" customHeight="1">
      <c r="A95" s="13" t="s">
        <v>701</v>
      </c>
      <c r="B95" s="14" t="s">
        <v>669</v>
      </c>
      <c r="C95" s="14" t="s">
        <v>592</v>
      </c>
      <c r="D95" s="14" t="s">
        <v>432</v>
      </c>
      <c r="E95" s="15">
        <v>72000.0</v>
      </c>
      <c r="F95" s="15">
        <v>130000.0</v>
      </c>
      <c r="G95" s="16">
        <f t="shared" si="1"/>
        <v>101000</v>
      </c>
      <c r="H95" s="13" t="s">
        <v>280</v>
      </c>
      <c r="I95" s="13" t="s">
        <v>281</v>
      </c>
      <c r="J95" s="14" t="s">
        <v>594</v>
      </c>
      <c r="K95" s="13" t="s">
        <v>283</v>
      </c>
      <c r="L95" s="13" t="s">
        <v>284</v>
      </c>
      <c r="M95" s="14" t="s">
        <v>595</v>
      </c>
    </row>
    <row r="96" ht="22.5" customHeight="1">
      <c r="A96" s="13" t="s">
        <v>702</v>
      </c>
      <c r="B96" s="14" t="s">
        <v>435</v>
      </c>
      <c r="C96" s="14" t="s">
        <v>703</v>
      </c>
      <c r="D96" s="14" t="s">
        <v>416</v>
      </c>
      <c r="E96" s="16"/>
      <c r="F96" s="15">
        <v>56000.0</v>
      </c>
      <c r="G96" s="16">
        <f t="shared" si="1"/>
        <v>56000</v>
      </c>
      <c r="H96" s="13" t="s">
        <v>280</v>
      </c>
      <c r="I96" s="13" t="s">
        <v>281</v>
      </c>
      <c r="J96" s="14" t="s">
        <v>704</v>
      </c>
      <c r="K96" s="13" t="s">
        <v>283</v>
      </c>
      <c r="L96" s="13" t="s">
        <v>284</v>
      </c>
      <c r="M96" s="14" t="s">
        <v>705</v>
      </c>
    </row>
    <row r="97" ht="22.5" customHeight="1">
      <c r="A97" s="13" t="s">
        <v>706</v>
      </c>
      <c r="B97" s="14" t="s">
        <v>707</v>
      </c>
      <c r="C97" s="14" t="s">
        <v>442</v>
      </c>
      <c r="D97" s="14" t="s">
        <v>443</v>
      </c>
      <c r="E97" s="16"/>
      <c r="F97" s="16"/>
      <c r="G97" s="16" t="str">
        <f t="shared" si="1"/>
        <v/>
      </c>
      <c r="H97" s="13" t="s">
        <v>280</v>
      </c>
      <c r="I97" s="13" t="s">
        <v>281</v>
      </c>
      <c r="J97" s="14" t="s">
        <v>708</v>
      </c>
      <c r="K97" s="13" t="s">
        <v>283</v>
      </c>
      <c r="L97" s="13" t="s">
        <v>284</v>
      </c>
      <c r="M97" s="14" t="s">
        <v>709</v>
      </c>
    </row>
    <row r="98" ht="22.5" customHeight="1">
      <c r="A98" s="13" t="s">
        <v>710</v>
      </c>
      <c r="B98" s="14" t="s">
        <v>711</v>
      </c>
      <c r="C98" s="14" t="s">
        <v>712</v>
      </c>
      <c r="D98" s="14" t="s">
        <v>682</v>
      </c>
      <c r="E98" s="15">
        <v>50000.0</v>
      </c>
      <c r="F98" s="15">
        <v>55000.0</v>
      </c>
      <c r="G98" s="16">
        <f t="shared" si="1"/>
        <v>52500</v>
      </c>
      <c r="H98" s="13" t="s">
        <v>280</v>
      </c>
      <c r="I98" s="13" t="s">
        <v>281</v>
      </c>
      <c r="J98" s="14" t="s">
        <v>713</v>
      </c>
      <c r="K98" s="13" t="s">
        <v>283</v>
      </c>
      <c r="L98" s="13" t="s">
        <v>284</v>
      </c>
      <c r="M98" s="14" t="s">
        <v>714</v>
      </c>
    </row>
    <row r="99" ht="22.5" customHeight="1">
      <c r="A99" s="13" t="s">
        <v>715</v>
      </c>
      <c r="B99" s="14" t="s">
        <v>716</v>
      </c>
      <c r="C99" s="14" t="s">
        <v>717</v>
      </c>
      <c r="D99" s="14" t="s">
        <v>718</v>
      </c>
      <c r="E99" s="15">
        <v>50000.0</v>
      </c>
      <c r="F99" s="15">
        <v>60000.0</v>
      </c>
      <c r="G99" s="16">
        <f t="shared" si="1"/>
        <v>55000</v>
      </c>
      <c r="H99" s="13" t="s">
        <v>280</v>
      </c>
      <c r="I99" s="13" t="s">
        <v>281</v>
      </c>
      <c r="J99" s="14" t="s">
        <v>719</v>
      </c>
      <c r="K99" s="13" t="s">
        <v>283</v>
      </c>
      <c r="L99" s="13" t="s">
        <v>284</v>
      </c>
      <c r="M99" s="14" t="s">
        <v>376</v>
      </c>
    </row>
    <row r="100" ht="22.5" customHeight="1">
      <c r="A100" s="13" t="s">
        <v>720</v>
      </c>
      <c r="B100" s="14" t="s">
        <v>697</v>
      </c>
      <c r="C100" s="14" t="s">
        <v>698</v>
      </c>
      <c r="D100" s="14" t="s">
        <v>427</v>
      </c>
      <c r="E100" s="15">
        <v>90000.0</v>
      </c>
      <c r="F100" s="15">
        <v>160000.0</v>
      </c>
      <c r="G100" s="16">
        <f t="shared" si="1"/>
        <v>125000</v>
      </c>
      <c r="H100" s="13" t="s">
        <v>280</v>
      </c>
      <c r="I100" s="13" t="s">
        <v>281</v>
      </c>
      <c r="J100" s="14" t="s">
        <v>699</v>
      </c>
      <c r="K100" s="13" t="s">
        <v>283</v>
      </c>
      <c r="L100" s="13" t="s">
        <v>284</v>
      </c>
      <c r="M100" s="14" t="s">
        <v>700</v>
      </c>
    </row>
    <row r="101" ht="22.5" customHeight="1">
      <c r="A101" s="13" t="s">
        <v>721</v>
      </c>
      <c r="B101" s="14" t="s">
        <v>722</v>
      </c>
      <c r="C101" s="14" t="s">
        <v>723</v>
      </c>
      <c r="D101" s="14" t="s">
        <v>289</v>
      </c>
      <c r="E101" s="15">
        <v>60000.0</v>
      </c>
      <c r="F101" s="16"/>
      <c r="G101" s="16">
        <f t="shared" si="1"/>
        <v>60000</v>
      </c>
      <c r="H101" s="13" t="s">
        <v>280</v>
      </c>
      <c r="I101" s="13" t="s">
        <v>281</v>
      </c>
      <c r="J101" s="14" t="s">
        <v>507</v>
      </c>
      <c r="K101" s="13" t="s">
        <v>283</v>
      </c>
      <c r="L101" s="13" t="s">
        <v>284</v>
      </c>
      <c r="M101" s="14" t="s">
        <v>364</v>
      </c>
    </row>
    <row r="102" ht="22.5" customHeight="1">
      <c r="A102" s="13" t="s">
        <v>724</v>
      </c>
      <c r="B102" s="14" t="s">
        <v>725</v>
      </c>
      <c r="C102" s="14" t="s">
        <v>726</v>
      </c>
      <c r="D102" s="14" t="s">
        <v>727</v>
      </c>
      <c r="E102" s="15">
        <v>42588.0</v>
      </c>
      <c r="F102" s="15">
        <v>56160.0</v>
      </c>
      <c r="G102" s="16">
        <f t="shared" si="1"/>
        <v>49374</v>
      </c>
      <c r="H102" s="13" t="s">
        <v>280</v>
      </c>
      <c r="I102" s="13" t="s">
        <v>281</v>
      </c>
      <c r="J102" s="14" t="s">
        <v>728</v>
      </c>
      <c r="K102" s="13" t="s">
        <v>283</v>
      </c>
      <c r="L102" s="13" t="s">
        <v>284</v>
      </c>
      <c r="M102" s="14" t="s">
        <v>729</v>
      </c>
    </row>
    <row r="103" ht="22.5" customHeight="1">
      <c r="A103" s="13" t="s">
        <v>730</v>
      </c>
      <c r="B103" s="14" t="s">
        <v>389</v>
      </c>
      <c r="C103" s="14" t="s">
        <v>661</v>
      </c>
      <c r="D103" s="14" t="s">
        <v>731</v>
      </c>
      <c r="E103" s="15">
        <v>65000.0</v>
      </c>
      <c r="F103" s="15">
        <v>75000.0</v>
      </c>
      <c r="G103" s="16">
        <f t="shared" si="1"/>
        <v>70000</v>
      </c>
      <c r="H103" s="13" t="s">
        <v>280</v>
      </c>
      <c r="I103" s="13" t="s">
        <v>281</v>
      </c>
      <c r="J103" s="14" t="s">
        <v>663</v>
      </c>
      <c r="K103" s="13" t="s">
        <v>283</v>
      </c>
      <c r="L103" s="13" t="s">
        <v>284</v>
      </c>
      <c r="M103" s="14" t="s">
        <v>579</v>
      </c>
    </row>
    <row r="104" ht="22.5" customHeight="1">
      <c r="A104" s="13" t="s">
        <v>732</v>
      </c>
      <c r="B104" s="14" t="s">
        <v>435</v>
      </c>
      <c r="C104" s="14" t="s">
        <v>733</v>
      </c>
      <c r="D104" s="14" t="s">
        <v>243</v>
      </c>
      <c r="E104" s="15">
        <v>50000.0</v>
      </c>
      <c r="F104" s="15">
        <v>55000.0</v>
      </c>
      <c r="G104" s="16">
        <f t="shared" si="1"/>
        <v>52500</v>
      </c>
      <c r="H104" s="13" t="s">
        <v>280</v>
      </c>
      <c r="I104" s="13" t="s">
        <v>281</v>
      </c>
      <c r="J104" s="14" t="s">
        <v>734</v>
      </c>
      <c r="K104" s="13" t="s">
        <v>283</v>
      </c>
      <c r="L104" s="13" t="s">
        <v>284</v>
      </c>
      <c r="M104" s="14" t="s">
        <v>735</v>
      </c>
    </row>
    <row r="105" ht="22.5" customHeight="1">
      <c r="A105" s="13" t="s">
        <v>736</v>
      </c>
      <c r="B105" s="14" t="s">
        <v>697</v>
      </c>
      <c r="C105" s="14" t="s">
        <v>698</v>
      </c>
      <c r="D105" s="14" t="s">
        <v>737</v>
      </c>
      <c r="E105" s="15">
        <v>90000.0</v>
      </c>
      <c r="F105" s="15">
        <v>160000.0</v>
      </c>
      <c r="G105" s="16">
        <f t="shared" si="1"/>
        <v>125000</v>
      </c>
      <c r="H105" s="13" t="s">
        <v>280</v>
      </c>
      <c r="I105" s="13" t="s">
        <v>281</v>
      </c>
      <c r="J105" s="14" t="s">
        <v>699</v>
      </c>
      <c r="K105" s="13" t="s">
        <v>283</v>
      </c>
      <c r="L105" s="13" t="s">
        <v>284</v>
      </c>
      <c r="M105" s="14" t="s">
        <v>700</v>
      </c>
    </row>
    <row r="106" ht="22.5" customHeight="1">
      <c r="A106" s="13" t="s">
        <v>738</v>
      </c>
      <c r="B106" s="14" t="s">
        <v>739</v>
      </c>
      <c r="C106" s="14" t="s">
        <v>740</v>
      </c>
      <c r="D106" s="14" t="s">
        <v>536</v>
      </c>
      <c r="E106" s="16"/>
      <c r="F106" s="16"/>
      <c r="G106" s="16" t="str">
        <f t="shared" si="1"/>
        <v/>
      </c>
      <c r="H106" s="13" t="s">
        <v>280</v>
      </c>
      <c r="I106" s="13" t="s">
        <v>281</v>
      </c>
      <c r="J106" s="14" t="s">
        <v>741</v>
      </c>
      <c r="K106" s="13" t="s">
        <v>283</v>
      </c>
      <c r="L106" s="13" t="s">
        <v>284</v>
      </c>
      <c r="M106" s="14" t="s">
        <v>742</v>
      </c>
    </row>
    <row r="107" ht="22.5" customHeight="1">
      <c r="A107" s="13" t="s">
        <v>743</v>
      </c>
      <c r="B107" s="14" t="s">
        <v>600</v>
      </c>
      <c r="C107" s="14" t="s">
        <v>744</v>
      </c>
      <c r="D107" s="14" t="s">
        <v>289</v>
      </c>
      <c r="E107" s="16"/>
      <c r="F107" s="16"/>
      <c r="G107" s="16" t="str">
        <f t="shared" si="1"/>
        <v/>
      </c>
      <c r="H107" s="13" t="s">
        <v>280</v>
      </c>
      <c r="I107" s="13" t="s">
        <v>281</v>
      </c>
      <c r="J107" s="14" t="s">
        <v>745</v>
      </c>
      <c r="K107" s="13" t="s">
        <v>283</v>
      </c>
      <c r="L107" s="13" t="s">
        <v>284</v>
      </c>
      <c r="M107" s="14" t="s">
        <v>746</v>
      </c>
    </row>
    <row r="108" ht="22.5" customHeight="1">
      <c r="A108" s="13" t="s">
        <v>747</v>
      </c>
      <c r="B108" s="14" t="s">
        <v>748</v>
      </c>
      <c r="C108" s="14" t="s">
        <v>749</v>
      </c>
      <c r="D108" s="14" t="s">
        <v>750</v>
      </c>
      <c r="E108" s="15">
        <v>70000.0</v>
      </c>
      <c r="F108" s="15">
        <v>80000.0</v>
      </c>
      <c r="G108" s="16">
        <f t="shared" si="1"/>
        <v>75000</v>
      </c>
      <c r="H108" s="13" t="s">
        <v>280</v>
      </c>
      <c r="I108" s="13" t="s">
        <v>281</v>
      </c>
      <c r="J108" s="14" t="s">
        <v>502</v>
      </c>
      <c r="K108" s="13" t="s">
        <v>283</v>
      </c>
      <c r="L108" s="13" t="s">
        <v>284</v>
      </c>
      <c r="M108" s="14" t="s">
        <v>579</v>
      </c>
    </row>
    <row r="109" ht="22.5" customHeight="1">
      <c r="A109" s="13" t="s">
        <v>751</v>
      </c>
      <c r="B109" s="14" t="s">
        <v>752</v>
      </c>
      <c r="C109" s="14" t="s">
        <v>401</v>
      </c>
      <c r="D109" s="14" t="s">
        <v>402</v>
      </c>
      <c r="E109" s="15">
        <v>72000.0</v>
      </c>
      <c r="F109" s="16"/>
      <c r="G109" s="16">
        <f t="shared" si="1"/>
        <v>72000</v>
      </c>
      <c r="H109" s="13" t="s">
        <v>280</v>
      </c>
      <c r="I109" s="13" t="s">
        <v>281</v>
      </c>
      <c r="J109" s="14" t="s">
        <v>403</v>
      </c>
      <c r="K109" s="13" t="s">
        <v>283</v>
      </c>
      <c r="L109" s="13" t="s">
        <v>284</v>
      </c>
      <c r="M109" s="14" t="s">
        <v>753</v>
      </c>
    </row>
    <row r="110" ht="22.5" customHeight="1">
      <c r="A110" s="13" t="s">
        <v>754</v>
      </c>
      <c r="B110" s="14" t="s">
        <v>755</v>
      </c>
      <c r="C110" s="14" t="s">
        <v>756</v>
      </c>
      <c r="D110" s="14" t="s">
        <v>573</v>
      </c>
      <c r="E110" s="16"/>
      <c r="F110" s="16"/>
      <c r="G110" s="16" t="str">
        <f t="shared" si="1"/>
        <v/>
      </c>
      <c r="H110" s="13" t="s">
        <v>280</v>
      </c>
      <c r="I110" s="13" t="s">
        <v>281</v>
      </c>
      <c r="J110" s="14" t="s">
        <v>619</v>
      </c>
      <c r="K110" s="13" t="s">
        <v>283</v>
      </c>
      <c r="L110" s="13" t="s">
        <v>284</v>
      </c>
      <c r="M110" s="14" t="s">
        <v>757</v>
      </c>
    </row>
    <row r="111" ht="22.5" customHeight="1">
      <c r="A111" s="13" t="s">
        <v>758</v>
      </c>
      <c r="B111" s="14" t="s">
        <v>669</v>
      </c>
      <c r="C111" s="14" t="s">
        <v>592</v>
      </c>
      <c r="D111" s="14" t="s">
        <v>759</v>
      </c>
      <c r="E111" s="15">
        <v>72000.0</v>
      </c>
      <c r="F111" s="15">
        <v>130000.0</v>
      </c>
      <c r="G111" s="16">
        <f t="shared" si="1"/>
        <v>101000</v>
      </c>
      <c r="H111" s="13" t="s">
        <v>280</v>
      </c>
      <c r="I111" s="13" t="s">
        <v>281</v>
      </c>
      <c r="J111" s="14" t="s">
        <v>594</v>
      </c>
      <c r="K111" s="13" t="s">
        <v>283</v>
      </c>
      <c r="L111" s="13" t="s">
        <v>284</v>
      </c>
      <c r="M111" s="14" t="s">
        <v>595</v>
      </c>
    </row>
    <row r="112" ht="22.5" customHeight="1">
      <c r="A112" s="13" t="s">
        <v>760</v>
      </c>
      <c r="B112" s="14" t="s">
        <v>761</v>
      </c>
      <c r="C112" s="14" t="s">
        <v>762</v>
      </c>
      <c r="D112" s="14" t="s">
        <v>427</v>
      </c>
      <c r="E112" s="15">
        <v>79000.0</v>
      </c>
      <c r="F112" s="15">
        <v>139000.0</v>
      </c>
      <c r="G112" s="16">
        <f t="shared" si="1"/>
        <v>109000</v>
      </c>
      <c r="H112" s="13" t="s">
        <v>280</v>
      </c>
      <c r="I112" s="13" t="s">
        <v>281</v>
      </c>
      <c r="J112" s="14" t="s">
        <v>763</v>
      </c>
      <c r="K112" s="13" t="s">
        <v>283</v>
      </c>
      <c r="L112" s="13" t="s">
        <v>284</v>
      </c>
      <c r="M112" s="14" t="s">
        <v>764</v>
      </c>
    </row>
    <row r="113" ht="22.5" customHeight="1">
      <c r="A113" s="13" t="s">
        <v>765</v>
      </c>
      <c r="B113" s="14" t="s">
        <v>766</v>
      </c>
      <c r="C113" s="14" t="s">
        <v>767</v>
      </c>
      <c r="D113" s="14" t="s">
        <v>313</v>
      </c>
      <c r="E113" s="16"/>
      <c r="F113" s="16"/>
      <c r="G113" s="16" t="str">
        <f t="shared" si="1"/>
        <v/>
      </c>
      <c r="H113" s="13" t="s">
        <v>280</v>
      </c>
      <c r="I113" s="13" t="s">
        <v>281</v>
      </c>
      <c r="J113" s="14" t="s">
        <v>768</v>
      </c>
      <c r="K113" s="13" t="s">
        <v>283</v>
      </c>
      <c r="L113" s="13" t="s">
        <v>284</v>
      </c>
      <c r="M113" s="14" t="s">
        <v>769</v>
      </c>
    </row>
    <row r="114" ht="22.5" customHeight="1">
      <c r="A114" s="13" t="s">
        <v>770</v>
      </c>
      <c r="B114" s="14" t="s">
        <v>771</v>
      </c>
      <c r="C114" s="14" t="s">
        <v>772</v>
      </c>
      <c r="D114" s="14" t="s">
        <v>773</v>
      </c>
      <c r="E114" s="16"/>
      <c r="F114" s="16"/>
      <c r="G114" s="16" t="str">
        <f t="shared" si="1"/>
        <v/>
      </c>
      <c r="H114" s="13" t="s">
        <v>307</v>
      </c>
      <c r="I114" s="13" t="s">
        <v>774</v>
      </c>
      <c r="J114" s="14" t="s">
        <v>775</v>
      </c>
      <c r="K114" s="13" t="s">
        <v>283</v>
      </c>
      <c r="L114" s="13" t="s">
        <v>284</v>
      </c>
      <c r="M114" s="14" t="s">
        <v>776</v>
      </c>
    </row>
    <row r="115" ht="22.5" customHeight="1">
      <c r="A115" s="13" t="s">
        <v>777</v>
      </c>
      <c r="B115" s="14" t="s">
        <v>684</v>
      </c>
      <c r="C115" s="14" t="s">
        <v>778</v>
      </c>
      <c r="D115" s="14" t="s">
        <v>779</v>
      </c>
      <c r="E115" s="15">
        <v>55000.0</v>
      </c>
      <c r="F115" s="15">
        <v>65000.0</v>
      </c>
      <c r="G115" s="16">
        <f t="shared" si="1"/>
        <v>60000</v>
      </c>
      <c r="H115" s="13" t="s">
        <v>280</v>
      </c>
      <c r="I115" s="13" t="s">
        <v>281</v>
      </c>
      <c r="J115" s="14" t="s">
        <v>780</v>
      </c>
      <c r="K115" s="13" t="s">
        <v>283</v>
      </c>
      <c r="L115" s="13" t="s">
        <v>284</v>
      </c>
      <c r="M115" s="14" t="s">
        <v>781</v>
      </c>
    </row>
    <row r="116" ht="22.5" customHeight="1">
      <c r="A116" s="13" t="s">
        <v>782</v>
      </c>
      <c r="B116" s="14" t="s">
        <v>783</v>
      </c>
      <c r="C116" s="14" t="s">
        <v>241</v>
      </c>
      <c r="D116" s="14" t="s">
        <v>784</v>
      </c>
      <c r="E116" s="15">
        <v>50000.0</v>
      </c>
      <c r="F116" s="15">
        <v>80000.0</v>
      </c>
      <c r="G116" s="16">
        <f t="shared" si="1"/>
        <v>65000</v>
      </c>
      <c r="H116" s="13" t="s">
        <v>280</v>
      </c>
      <c r="I116" s="13" t="s">
        <v>281</v>
      </c>
      <c r="J116" s="14" t="s">
        <v>785</v>
      </c>
      <c r="K116" s="13" t="s">
        <v>283</v>
      </c>
      <c r="L116" s="13" t="s">
        <v>284</v>
      </c>
      <c r="M116" s="14" t="s">
        <v>786</v>
      </c>
    </row>
    <row r="117" ht="22.5" customHeight="1">
      <c r="A117" s="13" t="s">
        <v>787</v>
      </c>
      <c r="B117" s="14" t="s">
        <v>788</v>
      </c>
      <c r="C117" s="14" t="s">
        <v>789</v>
      </c>
      <c r="D117" s="14" t="s">
        <v>301</v>
      </c>
      <c r="E117" s="15">
        <v>50000.0</v>
      </c>
      <c r="F117" s="15">
        <v>120000.0</v>
      </c>
      <c r="G117" s="16">
        <f t="shared" si="1"/>
        <v>85000</v>
      </c>
      <c r="H117" s="13" t="s">
        <v>280</v>
      </c>
      <c r="I117" s="13" t="s">
        <v>281</v>
      </c>
      <c r="J117" s="14" t="s">
        <v>159</v>
      </c>
      <c r="K117" s="13" t="s">
        <v>283</v>
      </c>
      <c r="L117" s="13" t="s">
        <v>284</v>
      </c>
      <c r="M117" s="14" t="s">
        <v>620</v>
      </c>
    </row>
    <row r="118" ht="22.5" customHeight="1">
      <c r="A118" s="13" t="s">
        <v>790</v>
      </c>
      <c r="B118" s="14" t="s">
        <v>669</v>
      </c>
      <c r="C118" s="14" t="s">
        <v>791</v>
      </c>
      <c r="D118" s="14" t="s">
        <v>792</v>
      </c>
      <c r="E118" s="16"/>
      <c r="F118" s="16"/>
      <c r="G118" s="16" t="str">
        <f t="shared" si="1"/>
        <v/>
      </c>
      <c r="H118" s="13" t="s">
        <v>280</v>
      </c>
      <c r="I118" s="13" t="s">
        <v>281</v>
      </c>
      <c r="J118" s="14" t="s">
        <v>793</v>
      </c>
      <c r="K118" s="13" t="s">
        <v>283</v>
      </c>
      <c r="L118" s="13" t="s">
        <v>284</v>
      </c>
      <c r="M118" s="14" t="s">
        <v>794</v>
      </c>
    </row>
    <row r="119" ht="22.5" customHeight="1">
      <c r="A119" s="13" t="s">
        <v>795</v>
      </c>
      <c r="B119" s="14" t="s">
        <v>796</v>
      </c>
      <c r="C119" s="14" t="s">
        <v>797</v>
      </c>
      <c r="D119" s="14" t="s">
        <v>642</v>
      </c>
      <c r="E119" s="16"/>
      <c r="F119" s="16"/>
      <c r="G119" s="16" t="str">
        <f t="shared" si="1"/>
        <v/>
      </c>
      <c r="H119" s="13" t="s">
        <v>280</v>
      </c>
      <c r="I119" s="13" t="s">
        <v>281</v>
      </c>
      <c r="J119" s="14" t="s">
        <v>798</v>
      </c>
      <c r="K119" s="13" t="s">
        <v>283</v>
      </c>
      <c r="L119" s="13" t="s">
        <v>284</v>
      </c>
      <c r="M119" s="14" t="s">
        <v>799</v>
      </c>
    </row>
    <row r="120" ht="22.5" customHeight="1">
      <c r="A120" s="13" t="s">
        <v>800</v>
      </c>
      <c r="B120" s="14" t="s">
        <v>801</v>
      </c>
      <c r="C120" s="14" t="s">
        <v>802</v>
      </c>
      <c r="D120" s="14" t="s">
        <v>779</v>
      </c>
      <c r="E120" s="16"/>
      <c r="F120" s="16"/>
      <c r="G120" s="16" t="str">
        <f t="shared" si="1"/>
        <v/>
      </c>
      <c r="H120" s="13" t="s">
        <v>280</v>
      </c>
      <c r="I120" s="13" t="s">
        <v>281</v>
      </c>
      <c r="J120" s="14" t="s">
        <v>803</v>
      </c>
      <c r="K120" s="13" t="s">
        <v>283</v>
      </c>
      <c r="L120" s="13" t="s">
        <v>284</v>
      </c>
      <c r="M120" s="14" t="s">
        <v>804</v>
      </c>
    </row>
    <row r="121" ht="22.5" customHeight="1">
      <c r="A121" s="13" t="s">
        <v>805</v>
      </c>
      <c r="B121" s="14" t="s">
        <v>806</v>
      </c>
      <c r="C121" s="14" t="s">
        <v>807</v>
      </c>
      <c r="D121" s="14" t="s">
        <v>629</v>
      </c>
      <c r="E121" s="15">
        <v>24.0</v>
      </c>
      <c r="F121" s="15">
        <v>26.0</v>
      </c>
      <c r="G121" s="16">
        <f t="shared" si="1"/>
        <v>25</v>
      </c>
      <c r="H121" s="13" t="s">
        <v>307</v>
      </c>
      <c r="I121" s="13" t="s">
        <v>281</v>
      </c>
      <c r="J121" s="14" t="s">
        <v>808</v>
      </c>
      <c r="K121" s="13" t="s">
        <v>283</v>
      </c>
      <c r="L121" s="13" t="s">
        <v>284</v>
      </c>
      <c r="M121" s="14" t="s">
        <v>809</v>
      </c>
    </row>
    <row r="122" ht="22.5" customHeight="1">
      <c r="A122" s="13" t="s">
        <v>810</v>
      </c>
      <c r="B122" s="14" t="s">
        <v>811</v>
      </c>
      <c r="C122" s="14" t="s">
        <v>812</v>
      </c>
      <c r="D122" s="14" t="s">
        <v>511</v>
      </c>
      <c r="E122" s="15">
        <v>84520.0</v>
      </c>
      <c r="F122" s="15">
        <v>101788.0</v>
      </c>
      <c r="G122" s="16">
        <f t="shared" si="1"/>
        <v>93154</v>
      </c>
      <c r="H122" s="13" t="s">
        <v>280</v>
      </c>
      <c r="I122" s="13" t="s">
        <v>813</v>
      </c>
      <c r="J122" s="14" t="s">
        <v>814</v>
      </c>
      <c r="K122" s="13" t="s">
        <v>283</v>
      </c>
      <c r="L122" s="13" t="s">
        <v>284</v>
      </c>
      <c r="M122" s="14" t="s">
        <v>815</v>
      </c>
    </row>
    <row r="123" ht="22.5" customHeight="1">
      <c r="A123" s="13" t="s">
        <v>816</v>
      </c>
      <c r="B123" s="14" t="s">
        <v>817</v>
      </c>
      <c r="C123" s="14" t="s">
        <v>818</v>
      </c>
      <c r="D123" s="14" t="s">
        <v>819</v>
      </c>
      <c r="E123" s="15">
        <v>64000.0</v>
      </c>
      <c r="F123" s="15">
        <v>64000.0</v>
      </c>
      <c r="G123" s="16">
        <f t="shared" si="1"/>
        <v>64000</v>
      </c>
      <c r="H123" s="13" t="s">
        <v>280</v>
      </c>
      <c r="I123" s="13" t="s">
        <v>281</v>
      </c>
      <c r="J123" s="14" t="s">
        <v>820</v>
      </c>
      <c r="K123" s="13" t="s">
        <v>283</v>
      </c>
      <c r="L123" s="13" t="s">
        <v>284</v>
      </c>
      <c r="M123" s="14" t="s">
        <v>821</v>
      </c>
    </row>
    <row r="124" ht="22.5" customHeight="1">
      <c r="A124" s="13" t="s">
        <v>822</v>
      </c>
      <c r="B124" s="14" t="s">
        <v>823</v>
      </c>
      <c r="C124" s="14" t="s">
        <v>824</v>
      </c>
      <c r="D124" s="14" t="s">
        <v>825</v>
      </c>
      <c r="E124" s="15">
        <v>55000.0</v>
      </c>
      <c r="F124" s="15">
        <v>60000.0</v>
      </c>
      <c r="G124" s="16">
        <f t="shared" si="1"/>
        <v>57500</v>
      </c>
      <c r="H124" s="13" t="s">
        <v>280</v>
      </c>
      <c r="I124" s="13" t="s">
        <v>281</v>
      </c>
      <c r="J124" s="14" t="s">
        <v>826</v>
      </c>
      <c r="K124" s="13" t="s">
        <v>283</v>
      </c>
      <c r="L124" s="13" t="s">
        <v>284</v>
      </c>
      <c r="M124" s="14" t="s">
        <v>827</v>
      </c>
    </row>
    <row r="125" ht="22.5" customHeight="1">
      <c r="A125" s="13" t="s">
        <v>828</v>
      </c>
      <c r="B125" s="14" t="s">
        <v>829</v>
      </c>
      <c r="C125" s="14" t="s">
        <v>830</v>
      </c>
      <c r="D125" s="14" t="s">
        <v>831</v>
      </c>
      <c r="E125" s="15">
        <v>100000.0</v>
      </c>
      <c r="F125" s="15">
        <v>100000.0</v>
      </c>
      <c r="G125" s="16">
        <f t="shared" si="1"/>
        <v>100000</v>
      </c>
      <c r="H125" s="13" t="s">
        <v>280</v>
      </c>
      <c r="I125" s="13" t="s">
        <v>281</v>
      </c>
      <c r="J125" s="14" t="s">
        <v>565</v>
      </c>
      <c r="K125" s="13" t="s">
        <v>283</v>
      </c>
      <c r="L125" s="13" t="s">
        <v>284</v>
      </c>
      <c r="M125" s="14" t="s">
        <v>832</v>
      </c>
    </row>
    <row r="126" ht="22.5" customHeight="1">
      <c r="A126" s="13" t="s">
        <v>833</v>
      </c>
      <c r="B126" s="14" t="s">
        <v>834</v>
      </c>
      <c r="C126" s="14" t="s">
        <v>835</v>
      </c>
      <c r="D126" s="14" t="s">
        <v>588</v>
      </c>
      <c r="E126" s="15">
        <v>50000.0</v>
      </c>
      <c r="F126" s="15">
        <v>50000.0</v>
      </c>
      <c r="G126" s="16">
        <f t="shared" si="1"/>
        <v>50000</v>
      </c>
      <c r="H126" s="13" t="s">
        <v>280</v>
      </c>
      <c r="I126" s="13" t="s">
        <v>281</v>
      </c>
      <c r="J126" s="14" t="s">
        <v>836</v>
      </c>
      <c r="K126" s="13" t="s">
        <v>283</v>
      </c>
      <c r="L126" s="13" t="s">
        <v>284</v>
      </c>
      <c r="M126" s="14" t="s">
        <v>837</v>
      </c>
    </row>
    <row r="127" ht="22.5" customHeight="1">
      <c r="A127" s="13" t="s">
        <v>838</v>
      </c>
      <c r="B127" s="14" t="s">
        <v>839</v>
      </c>
      <c r="C127" s="14" t="s">
        <v>840</v>
      </c>
      <c r="D127" s="14" t="s">
        <v>841</v>
      </c>
      <c r="E127" s="16"/>
      <c r="F127" s="16"/>
      <c r="G127" s="16" t="str">
        <f t="shared" si="1"/>
        <v/>
      </c>
      <c r="H127" s="13" t="s">
        <v>280</v>
      </c>
      <c r="I127" s="13" t="s">
        <v>281</v>
      </c>
      <c r="J127" s="14" t="s">
        <v>842</v>
      </c>
      <c r="K127" s="13" t="s">
        <v>283</v>
      </c>
      <c r="L127" s="13" t="s">
        <v>284</v>
      </c>
      <c r="M127" s="14" t="s">
        <v>843</v>
      </c>
    </row>
    <row r="128" ht="22.5" customHeight="1">
      <c r="A128" s="13" t="s">
        <v>844</v>
      </c>
      <c r="B128" s="14" t="s">
        <v>845</v>
      </c>
      <c r="C128" s="14" t="s">
        <v>846</v>
      </c>
      <c r="D128" s="14" t="s">
        <v>847</v>
      </c>
      <c r="E128" s="16"/>
      <c r="F128" s="16"/>
      <c r="G128" s="16" t="str">
        <f t="shared" si="1"/>
        <v/>
      </c>
      <c r="H128" s="13" t="s">
        <v>280</v>
      </c>
      <c r="I128" s="13" t="s">
        <v>281</v>
      </c>
      <c r="J128" s="14" t="s">
        <v>848</v>
      </c>
      <c r="K128" s="13" t="s">
        <v>283</v>
      </c>
      <c r="L128" s="13" t="s">
        <v>284</v>
      </c>
      <c r="M128" s="14" t="s">
        <v>849</v>
      </c>
    </row>
    <row r="129" ht="22.5" customHeight="1">
      <c r="A129" s="13" t="s">
        <v>850</v>
      </c>
      <c r="B129" s="14" t="s">
        <v>851</v>
      </c>
      <c r="C129" s="14" t="s">
        <v>852</v>
      </c>
      <c r="D129" s="14" t="s">
        <v>853</v>
      </c>
      <c r="E129" s="16"/>
      <c r="F129" s="16"/>
      <c r="G129" s="16" t="str">
        <f t="shared" si="1"/>
        <v/>
      </c>
      <c r="H129" s="13" t="s">
        <v>280</v>
      </c>
      <c r="I129" s="13" t="s">
        <v>281</v>
      </c>
      <c r="J129" s="14" t="s">
        <v>314</v>
      </c>
      <c r="K129" s="13" t="s">
        <v>283</v>
      </c>
      <c r="L129" s="13" t="s">
        <v>284</v>
      </c>
      <c r="M129" s="14" t="s">
        <v>854</v>
      </c>
    </row>
    <row r="130" ht="22.5" customHeight="1">
      <c r="A130" s="13" t="s">
        <v>855</v>
      </c>
      <c r="B130" s="14" t="s">
        <v>856</v>
      </c>
      <c r="C130" s="14" t="s">
        <v>857</v>
      </c>
      <c r="D130" s="14" t="s">
        <v>858</v>
      </c>
      <c r="E130" s="15">
        <v>50000.0</v>
      </c>
      <c r="F130" s="16"/>
      <c r="G130" s="16">
        <f t="shared" si="1"/>
        <v>50000</v>
      </c>
      <c r="H130" s="13" t="s">
        <v>280</v>
      </c>
      <c r="I130" s="13" t="s">
        <v>281</v>
      </c>
      <c r="J130" s="14" t="s">
        <v>859</v>
      </c>
      <c r="K130" s="13" t="s">
        <v>283</v>
      </c>
      <c r="L130" s="13" t="s">
        <v>284</v>
      </c>
      <c r="M130" s="14" t="s">
        <v>860</v>
      </c>
    </row>
    <row r="131" ht="22.5" customHeight="1">
      <c r="A131" s="13" t="s">
        <v>861</v>
      </c>
      <c r="B131" s="14" t="s">
        <v>862</v>
      </c>
      <c r="C131" s="14" t="s">
        <v>330</v>
      </c>
      <c r="D131" s="14" t="s">
        <v>346</v>
      </c>
      <c r="E131" s="15">
        <v>40000.0</v>
      </c>
      <c r="F131" s="15">
        <v>45000.0</v>
      </c>
      <c r="G131" s="16">
        <f t="shared" si="1"/>
        <v>42500</v>
      </c>
      <c r="H131" s="13" t="s">
        <v>280</v>
      </c>
      <c r="I131" s="13" t="s">
        <v>281</v>
      </c>
      <c r="J131" s="14" t="s">
        <v>332</v>
      </c>
      <c r="K131" s="13" t="s">
        <v>283</v>
      </c>
      <c r="L131" s="13" t="s">
        <v>284</v>
      </c>
      <c r="M131" s="14" t="s">
        <v>863</v>
      </c>
    </row>
  </sheetData>
  <dataValidations>
    <dataValidation type="list" allowBlank="1" sqref="K5:K131">
      <formula1>"Not Applied,Applied,Interviewing,Offer,Rejected"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8</v>
      </c>
      <c r="D3" s="2" t="s">
        <v>15</v>
      </c>
      <c r="E3" s="2" t="s">
        <v>16</v>
      </c>
      <c r="F3" s="2" t="s">
        <v>10</v>
      </c>
      <c r="G3" s="2" t="s">
        <v>11</v>
      </c>
      <c r="H3" s="2" t="s">
        <v>18</v>
      </c>
      <c r="I3" s="2" t="s">
        <v>20</v>
      </c>
      <c r="J3" s="2" t="s">
        <v>21</v>
      </c>
    </row>
    <row r="4">
      <c r="A4" s="2" t="s">
        <v>23</v>
      </c>
    </row>
    <row r="5">
      <c r="A5" s="2" t="s">
        <v>25</v>
      </c>
      <c r="B5" s="2" t="s">
        <v>27</v>
      </c>
      <c r="C5" s="2" t="s">
        <v>28</v>
      </c>
      <c r="D5" s="2" t="s">
        <v>29</v>
      </c>
      <c r="E5" s="2" t="s">
        <v>15</v>
      </c>
      <c r="F5" s="2" t="s">
        <v>31</v>
      </c>
      <c r="G5" s="2" t="s">
        <v>11</v>
      </c>
      <c r="H5" s="2" t="s">
        <v>18</v>
      </c>
      <c r="I5" s="2" t="s">
        <v>34</v>
      </c>
      <c r="J5" s="2" t="s">
        <v>35</v>
      </c>
      <c r="K5" s="2" t="s">
        <v>37</v>
      </c>
    </row>
    <row r="6">
      <c r="A6" s="2" t="s">
        <v>39</v>
      </c>
    </row>
    <row r="7">
      <c r="A7" s="2" t="s">
        <v>41</v>
      </c>
    </row>
    <row r="8">
      <c r="A8" s="2" t="s">
        <v>44</v>
      </c>
    </row>
    <row r="9">
      <c r="A9" s="2" t="s">
        <v>46</v>
      </c>
      <c r="B9" s="2" t="s">
        <v>47</v>
      </c>
      <c r="C9" s="2" t="s">
        <v>48</v>
      </c>
      <c r="D9" s="2" t="s">
        <v>15</v>
      </c>
      <c r="E9" s="2" t="s">
        <v>49</v>
      </c>
      <c r="F9" s="2" t="s">
        <v>18</v>
      </c>
      <c r="G9" s="2" t="s">
        <v>50</v>
      </c>
    </row>
    <row r="10">
      <c r="A10" s="2" t="s">
        <v>52</v>
      </c>
      <c r="B10" s="2" t="s">
        <v>53</v>
      </c>
      <c r="C10" s="2" t="s">
        <v>54</v>
      </c>
      <c r="D10" s="2" t="s">
        <v>48</v>
      </c>
      <c r="E10" s="2" t="s">
        <v>15</v>
      </c>
      <c r="F10" s="2" t="s">
        <v>55</v>
      </c>
      <c r="G10" s="2" t="s">
        <v>56</v>
      </c>
    </row>
    <row r="11">
      <c r="A11" s="2" t="s">
        <v>57</v>
      </c>
    </row>
    <row r="12">
      <c r="A12" s="2" t="s">
        <v>58</v>
      </c>
    </row>
    <row r="13">
      <c r="A13" s="2" t="s">
        <v>59</v>
      </c>
    </row>
    <row r="14">
      <c r="A14" s="2" t="s">
        <v>60</v>
      </c>
      <c r="B14" s="2" t="s">
        <v>61</v>
      </c>
      <c r="C14" s="2" t="s">
        <v>29</v>
      </c>
      <c r="D14" s="2" t="s">
        <v>15</v>
      </c>
      <c r="E14" s="2" t="s">
        <v>63</v>
      </c>
      <c r="F14" s="2" t="s">
        <v>65</v>
      </c>
      <c r="G14" s="2" t="s">
        <v>66</v>
      </c>
      <c r="H14" s="2" t="s">
        <v>68</v>
      </c>
      <c r="I14" s="2" t="s">
        <v>21</v>
      </c>
    </row>
    <row r="15">
      <c r="A15" s="2" t="s">
        <v>69</v>
      </c>
      <c r="B15" s="2" t="s">
        <v>70</v>
      </c>
      <c r="C15" s="2" t="s">
        <v>8</v>
      </c>
      <c r="D15" s="2" t="s">
        <v>71</v>
      </c>
      <c r="E15" s="2" t="s">
        <v>18</v>
      </c>
      <c r="F15" s="2" t="s">
        <v>11</v>
      </c>
      <c r="G15" s="2" t="s">
        <v>72</v>
      </c>
      <c r="H15" s="2" t="s">
        <v>73</v>
      </c>
      <c r="I15" s="2" t="s">
        <v>37</v>
      </c>
    </row>
    <row r="16">
      <c r="A16" s="2" t="s">
        <v>74</v>
      </c>
    </row>
    <row r="17">
      <c r="A17" s="2" t="s">
        <v>75</v>
      </c>
    </row>
    <row r="18">
      <c r="A18" s="2" t="s">
        <v>76</v>
      </c>
    </row>
    <row r="19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10</v>
      </c>
      <c r="F19" s="2" t="s">
        <v>81</v>
      </c>
      <c r="G19" s="2" t="s">
        <v>82</v>
      </c>
    </row>
    <row r="20">
      <c r="A20" s="2" t="s">
        <v>83</v>
      </c>
      <c r="B20" s="2" t="s">
        <v>84</v>
      </c>
      <c r="C20" s="2" t="s">
        <v>85</v>
      </c>
      <c r="D20" s="2" t="s">
        <v>86</v>
      </c>
    </row>
    <row r="21">
      <c r="A21" s="2" t="s">
        <v>87</v>
      </c>
    </row>
    <row r="22">
      <c r="A22" s="2" t="s">
        <v>88</v>
      </c>
      <c r="B22" s="2" t="s">
        <v>89</v>
      </c>
      <c r="C22" s="2" t="s">
        <v>90</v>
      </c>
      <c r="D22" s="2" t="s">
        <v>15</v>
      </c>
      <c r="E22" s="2" t="s">
        <v>91</v>
      </c>
      <c r="F22" s="2" t="s">
        <v>92</v>
      </c>
      <c r="G22" s="2" t="s">
        <v>81</v>
      </c>
      <c r="H22" s="2" t="s">
        <v>93</v>
      </c>
    </row>
    <row r="23">
      <c r="A23" s="2" t="s">
        <v>94</v>
      </c>
    </row>
    <row r="24">
      <c r="A24" s="2" t="s">
        <v>95</v>
      </c>
      <c r="B24" s="2" t="s">
        <v>96</v>
      </c>
    </row>
    <row r="25">
      <c r="A25" s="2" t="s">
        <v>97</v>
      </c>
      <c r="B25" s="2" t="s">
        <v>98</v>
      </c>
      <c r="C25" s="2" t="s">
        <v>99</v>
      </c>
      <c r="D25" s="2" t="s">
        <v>15</v>
      </c>
      <c r="E25" s="2" t="s">
        <v>100</v>
      </c>
      <c r="F25" s="2" t="s">
        <v>101</v>
      </c>
      <c r="G25" s="2" t="s">
        <v>92</v>
      </c>
      <c r="H25" s="2" t="s">
        <v>102</v>
      </c>
      <c r="I25" s="2" t="s">
        <v>103</v>
      </c>
      <c r="J25" s="2" t="s">
        <v>81</v>
      </c>
      <c r="K25" s="2" t="s">
        <v>104</v>
      </c>
    </row>
    <row r="26">
      <c r="A26" s="2" t="s">
        <v>105</v>
      </c>
    </row>
    <row r="27">
      <c r="A27" s="2" t="s">
        <v>106</v>
      </c>
    </row>
    <row r="28">
      <c r="A28" s="2" t="s">
        <v>107</v>
      </c>
      <c r="B28" s="2" t="s">
        <v>108</v>
      </c>
      <c r="C28" s="2" t="s">
        <v>109</v>
      </c>
      <c r="D28" s="2" t="s">
        <v>15</v>
      </c>
      <c r="E28" s="2" t="s">
        <v>110</v>
      </c>
      <c r="F28" s="2" t="s">
        <v>111</v>
      </c>
      <c r="G28" s="2" t="s">
        <v>10</v>
      </c>
      <c r="H28" s="2" t="s">
        <v>18</v>
      </c>
      <c r="I28" s="2" t="s">
        <v>92</v>
      </c>
      <c r="J28" s="2" t="s">
        <v>73</v>
      </c>
      <c r="K28" s="2" t="s">
        <v>112</v>
      </c>
    </row>
    <row r="29">
      <c r="A29" s="2" t="s">
        <v>113</v>
      </c>
      <c r="B29" s="2" t="s">
        <v>114</v>
      </c>
      <c r="C29" s="2" t="s">
        <v>115</v>
      </c>
      <c r="D29" s="2" t="s">
        <v>11</v>
      </c>
      <c r="E29" s="2" t="s">
        <v>18</v>
      </c>
      <c r="F29" s="2" t="s">
        <v>116</v>
      </c>
      <c r="G29" s="2" t="s">
        <v>80</v>
      </c>
      <c r="H29" s="2" t="s">
        <v>81</v>
      </c>
    </row>
    <row r="30">
      <c r="A30" s="2" t="s">
        <v>117</v>
      </c>
    </row>
    <row r="31">
      <c r="A31" s="2" t="s">
        <v>118</v>
      </c>
    </row>
    <row r="32">
      <c r="A32" s="2" t="s">
        <v>119</v>
      </c>
      <c r="B32" s="2" t="s">
        <v>120</v>
      </c>
      <c r="C32" s="2" t="s">
        <v>121</v>
      </c>
      <c r="D32" s="2" t="s">
        <v>71</v>
      </c>
      <c r="E32" s="2" t="s">
        <v>11</v>
      </c>
      <c r="F32" s="2" t="s">
        <v>18</v>
      </c>
      <c r="G32" s="2" t="s">
        <v>102</v>
      </c>
      <c r="H32" s="2" t="s">
        <v>122</v>
      </c>
    </row>
    <row r="33">
      <c r="A33" s="2" t="s">
        <v>123</v>
      </c>
    </row>
    <row r="34">
      <c r="A34" s="2" t="s">
        <v>124</v>
      </c>
    </row>
    <row r="35">
      <c r="A35" s="2" t="s">
        <v>125</v>
      </c>
    </row>
    <row r="36">
      <c r="A36" s="2" t="s">
        <v>126</v>
      </c>
      <c r="B36" s="2" t="s">
        <v>127</v>
      </c>
      <c r="C36" s="2" t="s">
        <v>128</v>
      </c>
    </row>
    <row r="37">
      <c r="A37" s="2" t="s">
        <v>129</v>
      </c>
      <c r="B37" s="2" t="s">
        <v>130</v>
      </c>
      <c r="C37" s="2" t="s">
        <v>80</v>
      </c>
      <c r="D37" s="2" t="s">
        <v>66</v>
      </c>
      <c r="E37" s="2" t="s">
        <v>131</v>
      </c>
      <c r="F37" s="2" t="s">
        <v>35</v>
      </c>
      <c r="G37" s="2" t="s">
        <v>37</v>
      </c>
    </row>
    <row r="38">
      <c r="A38" s="2" t="s">
        <v>132</v>
      </c>
      <c r="B38" s="2" t="s">
        <v>133</v>
      </c>
      <c r="C38" s="2" t="s">
        <v>134</v>
      </c>
      <c r="D38" s="2" t="s">
        <v>135</v>
      </c>
      <c r="E38" s="2" t="s">
        <v>136</v>
      </c>
      <c r="F38" s="2" t="s">
        <v>11</v>
      </c>
      <c r="G38" s="2" t="s">
        <v>18</v>
      </c>
      <c r="H38" s="2" t="s">
        <v>137</v>
      </c>
      <c r="I38" s="2" t="s">
        <v>138</v>
      </c>
      <c r="J38" s="2" t="s">
        <v>139</v>
      </c>
    </row>
    <row r="39">
      <c r="A39" s="2" t="s">
        <v>140</v>
      </c>
    </row>
    <row r="40">
      <c r="A40" s="2" t="s">
        <v>141</v>
      </c>
      <c r="B40" s="2" t="s">
        <v>142</v>
      </c>
      <c r="C40" s="2" t="s">
        <v>143</v>
      </c>
    </row>
    <row r="41">
      <c r="A41" s="2" t="s">
        <v>144</v>
      </c>
    </row>
    <row r="42">
      <c r="A42" s="2" t="s">
        <v>145</v>
      </c>
      <c r="B42" s="2" t="s">
        <v>146</v>
      </c>
      <c r="C42" s="2" t="s">
        <v>147</v>
      </c>
    </row>
    <row r="43">
      <c r="A43" s="2" t="s">
        <v>148</v>
      </c>
      <c r="B43" s="2" t="s">
        <v>149</v>
      </c>
      <c r="C43" s="2" t="s">
        <v>15</v>
      </c>
      <c r="D43" s="2" t="s">
        <v>150</v>
      </c>
      <c r="E43" s="2" t="s">
        <v>80</v>
      </c>
      <c r="F43" s="2" t="s">
        <v>10</v>
      </c>
      <c r="G43" s="2" t="s">
        <v>66</v>
      </c>
      <c r="H43" s="2" t="s">
        <v>92</v>
      </c>
      <c r="I43" s="2" t="s">
        <v>151</v>
      </c>
    </row>
    <row r="44">
      <c r="A44" s="2" t="s">
        <v>152</v>
      </c>
      <c r="B44" s="2" t="s">
        <v>153</v>
      </c>
      <c r="C44" s="2" t="s">
        <v>154</v>
      </c>
      <c r="D44" s="2" t="s">
        <v>15</v>
      </c>
      <c r="E44" s="2" t="s">
        <v>31</v>
      </c>
      <c r="F44" s="2" t="s">
        <v>11</v>
      </c>
      <c r="G44" s="2" t="s">
        <v>18</v>
      </c>
      <c r="H44" s="2" t="s">
        <v>73</v>
      </c>
      <c r="I44" s="2" t="s">
        <v>155</v>
      </c>
      <c r="J44" s="2" t="s">
        <v>21</v>
      </c>
    </row>
    <row r="45">
      <c r="A45" s="2" t="s">
        <v>156</v>
      </c>
    </row>
    <row r="46">
      <c r="A46" s="2" t="s">
        <v>157</v>
      </c>
      <c r="B46" s="2" t="s">
        <v>158</v>
      </c>
      <c r="C46" s="2" t="s">
        <v>91</v>
      </c>
      <c r="D46" s="2" t="s">
        <v>11</v>
      </c>
      <c r="E46" s="2" t="s">
        <v>18</v>
      </c>
      <c r="F46" s="2" t="s">
        <v>159</v>
      </c>
      <c r="G46" s="2" t="s">
        <v>21</v>
      </c>
    </row>
    <row r="47">
      <c r="A47" s="2" t="s">
        <v>160</v>
      </c>
    </row>
    <row r="48">
      <c r="A48" s="2" t="s">
        <v>161</v>
      </c>
    </row>
    <row r="49">
      <c r="A49" s="2" t="s">
        <v>162</v>
      </c>
    </row>
    <row r="50">
      <c r="A50" s="2" t="s">
        <v>163</v>
      </c>
      <c r="B50" s="2" t="s">
        <v>164</v>
      </c>
      <c r="C50" s="2" t="s">
        <v>85</v>
      </c>
      <c r="D50" s="2" t="s">
        <v>15</v>
      </c>
      <c r="E50" s="2" t="s">
        <v>165</v>
      </c>
      <c r="F50" s="2" t="s">
        <v>10</v>
      </c>
      <c r="G50" s="2" t="s">
        <v>11</v>
      </c>
      <c r="H50" s="2" t="s">
        <v>18</v>
      </c>
      <c r="I50" s="2" t="s">
        <v>21</v>
      </c>
    </row>
    <row r="51">
      <c r="A51" s="2" t="s">
        <v>166</v>
      </c>
    </row>
    <row r="52">
      <c r="A52" s="2" t="s">
        <v>167</v>
      </c>
      <c r="B52" s="2" t="s">
        <v>168</v>
      </c>
      <c r="C52" s="2" t="s">
        <v>101</v>
      </c>
      <c r="D52" s="2" t="s">
        <v>80</v>
      </c>
      <c r="E52" s="2" t="s">
        <v>10</v>
      </c>
      <c r="F52" s="2" t="s">
        <v>66</v>
      </c>
      <c r="G52" s="2" t="s">
        <v>73</v>
      </c>
      <c r="H52" s="2" t="s">
        <v>21</v>
      </c>
    </row>
    <row r="53">
      <c r="A53" s="2" t="s">
        <v>169</v>
      </c>
    </row>
    <row r="54">
      <c r="A54" s="2" t="s">
        <v>170</v>
      </c>
    </row>
    <row r="55">
      <c r="A55" s="2" t="s">
        <v>171</v>
      </c>
      <c r="B55" s="2" t="s">
        <v>172</v>
      </c>
      <c r="C55" s="2" t="s">
        <v>48</v>
      </c>
      <c r="D55" s="2" t="s">
        <v>173</v>
      </c>
      <c r="E55" s="2" t="s">
        <v>18</v>
      </c>
      <c r="F55" s="2" t="s">
        <v>159</v>
      </c>
      <c r="G55" s="2" t="s">
        <v>21</v>
      </c>
    </row>
    <row r="56">
      <c r="A56" s="2" t="s">
        <v>174</v>
      </c>
    </row>
    <row r="57">
      <c r="A57" s="2" t="s">
        <v>175</v>
      </c>
    </row>
    <row r="58">
      <c r="A58" s="2" t="s">
        <v>176</v>
      </c>
    </row>
    <row r="59">
      <c r="A59" s="2" t="s">
        <v>177</v>
      </c>
    </row>
    <row r="60">
      <c r="A60" s="2" t="s">
        <v>178</v>
      </c>
      <c r="B60" s="2" t="s">
        <v>179</v>
      </c>
      <c r="C60" s="2" t="s">
        <v>11</v>
      </c>
      <c r="D60" s="2" t="s">
        <v>18</v>
      </c>
      <c r="E60" s="2" t="s">
        <v>92</v>
      </c>
      <c r="F60" s="2" t="s">
        <v>73</v>
      </c>
      <c r="G60" s="2" t="s">
        <v>37</v>
      </c>
    </row>
    <row r="61">
      <c r="A61" s="2" t="s">
        <v>180</v>
      </c>
    </row>
    <row r="62">
      <c r="A62" s="2" t="s">
        <v>181</v>
      </c>
    </row>
    <row r="63">
      <c r="A63" s="2" t="s">
        <v>182</v>
      </c>
    </row>
    <row r="64">
      <c r="A64" s="2" t="s">
        <v>183</v>
      </c>
    </row>
    <row r="65">
      <c r="A65" s="2" t="s">
        <v>184</v>
      </c>
    </row>
    <row r="66">
      <c r="A66" s="2" t="s">
        <v>185</v>
      </c>
    </row>
    <row r="67">
      <c r="A67" s="2" t="s">
        <v>186</v>
      </c>
    </row>
    <row r="68">
      <c r="A68" s="2" t="s">
        <v>187</v>
      </c>
    </row>
    <row r="69">
      <c r="A69" s="2" t="s">
        <v>188</v>
      </c>
    </row>
    <row r="70">
      <c r="A70" s="2" t="s">
        <v>190</v>
      </c>
    </row>
    <row r="71">
      <c r="A71" s="2" t="s">
        <v>191</v>
      </c>
    </row>
    <row r="72">
      <c r="A72" s="2" t="s">
        <v>192</v>
      </c>
    </row>
    <row r="73">
      <c r="A73" s="2" t="s">
        <v>193</v>
      </c>
    </row>
    <row r="74">
      <c r="A74" s="2" t="s">
        <v>194</v>
      </c>
    </row>
    <row r="75">
      <c r="A75" s="2" t="s">
        <v>195</v>
      </c>
    </row>
    <row r="76">
      <c r="A76" s="2" t="s">
        <v>196</v>
      </c>
    </row>
    <row r="77">
      <c r="A77" s="2" t="s">
        <v>197</v>
      </c>
    </row>
    <row r="78">
      <c r="A78" s="2" t="s">
        <v>198</v>
      </c>
    </row>
    <row r="79">
      <c r="A79" s="2" t="s">
        <v>200</v>
      </c>
    </row>
    <row r="80">
      <c r="A80" s="2" t="s">
        <v>201</v>
      </c>
    </row>
    <row r="81">
      <c r="A81" s="2" t="s">
        <v>202</v>
      </c>
    </row>
    <row r="82">
      <c r="A82" s="2" t="s">
        <v>203</v>
      </c>
    </row>
    <row r="83">
      <c r="A83" s="2" t="s">
        <v>204</v>
      </c>
    </row>
    <row r="84">
      <c r="A84" s="2" t="s">
        <v>205</v>
      </c>
    </row>
    <row r="85">
      <c r="A85" s="2" t="s">
        <v>206</v>
      </c>
    </row>
    <row r="86">
      <c r="A86" s="2" t="s">
        <v>209</v>
      </c>
      <c r="B86" s="2" t="s">
        <v>210</v>
      </c>
      <c r="C86" s="2" t="s">
        <v>99</v>
      </c>
      <c r="D86" s="2" t="s">
        <v>9</v>
      </c>
      <c r="E86" s="2" t="s">
        <v>10</v>
      </c>
      <c r="F86" s="2" t="s">
        <v>11</v>
      </c>
      <c r="G86" s="2" t="s">
        <v>18</v>
      </c>
      <c r="H86" s="2" t="s">
        <v>92</v>
      </c>
      <c r="I86" s="2" t="s">
        <v>21</v>
      </c>
    </row>
    <row r="87">
      <c r="A87" s="2" t="s">
        <v>212</v>
      </c>
    </row>
    <row r="88">
      <c r="A88" s="2" t="s">
        <v>213</v>
      </c>
    </row>
    <row r="89">
      <c r="A89" s="2" t="s">
        <v>214</v>
      </c>
    </row>
    <row r="90">
      <c r="A90" s="2" t="s">
        <v>216</v>
      </c>
      <c r="B90" s="2" t="s">
        <v>218</v>
      </c>
      <c r="C90" s="2" t="s">
        <v>29</v>
      </c>
      <c r="D90" s="2" t="s">
        <v>15</v>
      </c>
      <c r="E90" s="2" t="s">
        <v>63</v>
      </c>
      <c r="F90" s="2" t="s">
        <v>65</v>
      </c>
      <c r="G90" s="2" t="s">
        <v>66</v>
      </c>
      <c r="H90" s="2" t="s">
        <v>68</v>
      </c>
      <c r="I90" s="2" t="s">
        <v>21</v>
      </c>
    </row>
    <row r="91">
      <c r="A91" s="2" t="s">
        <v>225</v>
      </c>
    </row>
    <row r="92">
      <c r="A92" s="2" t="s">
        <v>226</v>
      </c>
    </row>
    <row r="93">
      <c r="A93" s="2" t="s">
        <v>228</v>
      </c>
    </row>
    <row r="94">
      <c r="A94" s="2" t="s">
        <v>229</v>
      </c>
    </row>
    <row r="95">
      <c r="A95" s="2" t="s">
        <v>230</v>
      </c>
    </row>
    <row r="96">
      <c r="A96" s="2" t="s">
        <v>231</v>
      </c>
    </row>
    <row r="97">
      <c r="A97" s="2" t="s">
        <v>232</v>
      </c>
    </row>
    <row r="98">
      <c r="A98" s="2" t="s">
        <v>233</v>
      </c>
      <c r="B98" s="2" t="s">
        <v>234</v>
      </c>
      <c r="C98" s="2" t="s">
        <v>15</v>
      </c>
      <c r="D98" s="2" t="s">
        <v>235</v>
      </c>
      <c r="E98" s="2" t="s">
        <v>11</v>
      </c>
      <c r="F98" s="2" t="s">
        <v>18</v>
      </c>
      <c r="G98" s="2" t="s">
        <v>159</v>
      </c>
      <c r="H98" s="2" t="s">
        <v>21</v>
      </c>
    </row>
    <row r="99">
      <c r="A99" s="2" t="s">
        <v>237</v>
      </c>
    </row>
    <row r="100">
      <c r="A100" s="2" t="s">
        <v>238</v>
      </c>
    </row>
    <row r="101">
      <c r="A101" s="2" t="s">
        <v>239</v>
      </c>
    </row>
    <row r="102">
      <c r="A102" s="2" t="s">
        <v>240</v>
      </c>
    </row>
    <row r="103">
      <c r="A103" s="2" t="s">
        <v>242</v>
      </c>
    </row>
    <row r="104">
      <c r="A104" s="2" t="s">
        <v>244</v>
      </c>
      <c r="B104" s="2" t="s">
        <v>245</v>
      </c>
      <c r="C104" s="2" t="s">
        <v>11</v>
      </c>
      <c r="D104" s="2" t="s">
        <v>18</v>
      </c>
      <c r="E104" s="2" t="s">
        <v>80</v>
      </c>
      <c r="F104" s="2" t="s">
        <v>155</v>
      </c>
      <c r="G104" s="2" t="s">
        <v>37</v>
      </c>
    </row>
    <row r="105">
      <c r="A105" s="2" t="s">
        <v>246</v>
      </c>
    </row>
    <row r="106">
      <c r="A106" s="2" t="s">
        <v>247</v>
      </c>
    </row>
    <row r="107">
      <c r="A107" s="2" t="s">
        <v>248</v>
      </c>
      <c r="B107" s="2" t="s">
        <v>249</v>
      </c>
    </row>
    <row r="108">
      <c r="A108" s="2" t="s">
        <v>250</v>
      </c>
    </row>
    <row r="109">
      <c r="A109" s="2" t="s">
        <v>251</v>
      </c>
    </row>
    <row r="110">
      <c r="A110" s="2" t="s">
        <v>252</v>
      </c>
      <c r="B110" s="2" t="s">
        <v>253</v>
      </c>
      <c r="C110" s="2" t="s">
        <v>18</v>
      </c>
      <c r="D110" s="2" t="s">
        <v>80</v>
      </c>
      <c r="E110" s="2" t="s">
        <v>35</v>
      </c>
      <c r="F110" s="2" t="s">
        <v>92</v>
      </c>
      <c r="G110" s="2" t="s">
        <v>21</v>
      </c>
    </row>
    <row r="111">
      <c r="A111" s="2" t="s">
        <v>254</v>
      </c>
    </row>
    <row r="112">
      <c r="A112" s="2" t="s">
        <v>255</v>
      </c>
    </row>
    <row r="113">
      <c r="A113" s="2" t="s">
        <v>256</v>
      </c>
    </row>
    <row r="114">
      <c r="A114" s="2" t="s">
        <v>257</v>
      </c>
    </row>
    <row r="115">
      <c r="A115" s="2" t="s">
        <v>258</v>
      </c>
    </row>
    <row r="116">
      <c r="A116" s="2" t="s">
        <v>259</v>
      </c>
    </row>
    <row r="117">
      <c r="A117" s="2" t="s">
        <v>260</v>
      </c>
    </row>
    <row r="118">
      <c r="A118" s="2" t="s">
        <v>261</v>
      </c>
      <c r="B118" s="2" t="s">
        <v>262</v>
      </c>
      <c r="C118" s="2" t="s">
        <v>263</v>
      </c>
    </row>
    <row r="119">
      <c r="A119" s="2" t="s">
        <v>264</v>
      </c>
    </row>
    <row r="120">
      <c r="A120" s="2" t="s">
        <v>265</v>
      </c>
      <c r="B120" s="2" t="s">
        <v>266</v>
      </c>
      <c r="C120" s="2" t="s">
        <v>267</v>
      </c>
    </row>
    <row r="121">
      <c r="A121" s="2" t="s">
        <v>268</v>
      </c>
    </row>
    <row r="122">
      <c r="A122" s="2" t="s">
        <v>269</v>
      </c>
    </row>
    <row r="123">
      <c r="A123" s="2" t="s">
        <v>270</v>
      </c>
    </row>
    <row r="124">
      <c r="A124" s="2" t="s">
        <v>271</v>
      </c>
    </row>
    <row r="125">
      <c r="A125" s="2" t="s">
        <v>272</v>
      </c>
    </row>
    <row r="126">
      <c r="A126" s="2" t="s">
        <v>273</v>
      </c>
    </row>
    <row r="127">
      <c r="A127" s="2" t="s">
        <v>274</v>
      </c>
    </row>
    <row r="128">
      <c r="A128" s="2" t="s">
        <v>275</v>
      </c>
      <c r="B128" s="2" t="s">
        <v>276</v>
      </c>
      <c r="C128" s="2" t="s">
        <v>277</v>
      </c>
      <c r="D128" s="2" t="s">
        <v>278</v>
      </c>
      <c r="E128" s="2" t="s">
        <v>15</v>
      </c>
      <c r="F128" s="2" t="s">
        <v>100</v>
      </c>
      <c r="G128" s="2" t="s">
        <v>279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/>
      <c r="F1" s="1"/>
      <c r="G1" s="1"/>
    </row>
    <row r="2">
      <c r="A2" s="1" t="s">
        <v>5</v>
      </c>
      <c r="B2" s="3">
        <v>22.0</v>
      </c>
      <c r="C2" s="1" t="s">
        <v>17</v>
      </c>
      <c r="D2" s="1" t="s">
        <v>19</v>
      </c>
      <c r="E2" s="1"/>
      <c r="F2" s="1"/>
      <c r="G2" s="1"/>
    </row>
    <row r="3">
      <c r="A3" s="1" t="s">
        <v>22</v>
      </c>
      <c r="B3" s="3">
        <v>14.0</v>
      </c>
      <c r="C3" s="1" t="s">
        <v>24</v>
      </c>
      <c r="D3" s="1" t="s">
        <v>26</v>
      </c>
      <c r="E3" s="1"/>
      <c r="F3" s="1"/>
      <c r="G3" s="1"/>
    </row>
    <row r="4">
      <c r="A4" s="1" t="s">
        <v>30</v>
      </c>
      <c r="B4" s="3">
        <v>17.0</v>
      </c>
      <c r="C4" s="1" t="s">
        <v>32</v>
      </c>
      <c r="D4" s="1" t="s">
        <v>33</v>
      </c>
      <c r="E4" s="1"/>
      <c r="F4" s="1"/>
      <c r="G4" s="1"/>
    </row>
    <row r="5">
      <c r="A5" s="1" t="s">
        <v>36</v>
      </c>
      <c r="B5" s="3">
        <v>42.0</v>
      </c>
      <c r="C5" s="1" t="s">
        <v>38</v>
      </c>
      <c r="D5" s="1" t="s">
        <v>40</v>
      </c>
      <c r="E5" s="1"/>
      <c r="F5" s="1"/>
      <c r="G5" s="1"/>
    </row>
    <row r="6">
      <c r="A6" s="1" t="s">
        <v>42</v>
      </c>
      <c r="B6" s="3">
        <v>32.0</v>
      </c>
      <c r="C6" s="1" t="s">
        <v>43</v>
      </c>
      <c r="D6" s="1" t="s">
        <v>45</v>
      </c>
      <c r="E6" s="1"/>
      <c r="F6" s="1"/>
      <c r="G6" s="1"/>
    </row>
  </sheetData>
  <drawing r:id="rId1"/>
</worksheet>
</file>